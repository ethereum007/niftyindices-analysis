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3f56a1faa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or summary" sheetId="1" r:id="Rc8e1c93a94584fe4"/>
    <x:sheet xmlns:r="http://schemas.openxmlformats.org/officeDocument/2006/relationships" name="All smallcases" sheetId="2" r:id="Rc0428e94c7324c5a"/>
    <x:sheet xmlns:r="http://schemas.openxmlformats.org/officeDocument/2006/relationships" name="Sector memberships" sheetId="3" r:id="Rd8c75af9c5b941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dd mmm yyyy"/>
    <x:numFmt numFmtId="202" formatCode="0.0%"/>
  </x:numFmts>
  <x:fonts count="8">
    <x:font>
      <x:sz val="11"/>
      <x:name val="Carlito"/>
    </x:font>
    <x:font>
      <x:sz val="10"/>
      <x:color rgb="FF243746"/>
      <x:name val="Arial"/>
    </x:font>
    <x:font>
      <x:b/>
      <x:sz val="14"/>
      <x:color rgb="FF243746"/>
      <x:name val="Arial"/>
    </x:font>
    <x:font>
      <x:i/>
      <x:sz val="10"/>
      <x:color rgb="FF617280"/>
      <x:name val="Arial"/>
    </x:font>
    <x:font>
      <x:sz val="10"/>
      <x:color rgb="FF2466A2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i/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6"/>
      </x:patternFill>
    </x:fill>
    <x:fill>
      <x:patternFill patternType="solid">
        <x:fgColor rgb="FFEE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faae2ac534929" /><Relationship Type="http://schemas.openxmlformats.org/officeDocument/2006/relationships/theme" Target="/xl/theme/theme1.xml" Id="R43dabf60e28a4d5e" /><Relationship Type="http://schemas.openxmlformats.org/officeDocument/2006/relationships/sharedStrings" Target="/xl/sharedStrings.xml" Id="R70a213c305744e0e" /><Relationship Type="http://schemas.openxmlformats.org/officeDocument/2006/relationships/worksheet" Target="/xl/worksheets/sheet1.xml" Id="Rc8e1c93a94584fe4" /><Relationship Type="http://schemas.openxmlformats.org/officeDocument/2006/relationships/worksheet" Target="/xl/worksheets/sheet2.xml" Id="Rc0428e94c7324c5a" /><Relationship Type="http://schemas.openxmlformats.org/officeDocument/2006/relationships/worksheet" Target="/xl/worksheets/sheet3.xml" Id="Rd8c75af9c5b94124" /></Relationships>
</file>

<file path=xl/tables/table1.xml><?xml version="1.0" encoding="utf-8"?>
<x:table xmlns:x="http://schemas.openxmlformats.org/spreadsheetml/2006/main" id="1" name="Smallcases" displayName="Smallcases" ref="A5:P550" headerRowCount="1" totalsRowCount="0" totalsRowShown="0">
  <x:tableColumns count="16">
    <x:tableColumn id="1" name="Listing order"/>
    <x:tableColumn id="2" name="Smallcase"/>
    <x:tableColumn id="3" name="Manager"/>
    <x:tableColumn id="4" name="Coverage type"/>
    <x:tableColumn id="5" name="Stated sectors / industries"/>
    <x:tableColumn id="6" name="Strategy / style"/>
    <x:tableColumn id="7" name="Min. investment (INR)"/>
    <x:tableColumn id="8" name="Volatility"/>
    <x:tableColumn id="9" name="Access"/>
    <x:tableColumn id="10" name="From / month (INR)"/>
    <x:tableColumn id="11" name="Listing description"/>
    <x:tableColumn id="12" name="Sector evidence"/>
    <x:tableColumn id="13" name="Last rebalance"/>
    <x:tableColumn id="14" name="Source URL"/>
    <x:tableColumn id="15" name="Smallcase ID"/>
    <x:tableColumn id="16" name="Other thematic foc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torMemberships" displayName="SectorMemberships" ref="A5:E201" headerRowCount="1" totalsRowCount="0" totalsRowShown="0">
  <x:tableColumns count="5">
    <x:tableColumn id="1" name="Sector / industry theme"/>
    <x:tableColumn id="2" name="Smallcase"/>
    <x:tableColumn id="3" name="Manager"/>
    <x:tableColumn id="4" name="Smallcase ID"/>
    <x:tableColumn id="5" name="Evidence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c19a7464564a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bb2c5989624244" /></Relationships>
</file>

<file path=xl/worksheets/sheet1.xml><?xml version="1.0" encoding="utf-8"?>
<x:worksheet xmlns:x="http://schemas.openxmlformats.org/spreadsheetml/2006/main">
  <x:sheetPr>
    <x:tabColor rgb="FF243746"/>
  </x:sheetPr>
  <x:sheetViews>
    <x:sheetView showGridLines="0" workbookViewId="0"/>
  </x:sheetViews>
  <x:sheetFormatPr defaultRowHeight="15"/>
  <x:cols>
    <x:col min="1" max="1" width="3" hidden="0" customWidth="1"/>
    <x:col min="2" max="2" width="51" hidden="0" customWidth="1"/>
    <x:col min="3" max="3" width="14" hidden="0" customWidth="1"/>
    <x:col min="4" max="4" width="14" hidden="0" customWidth="1"/>
    <x:col min="5" max="5" width="19" hidden="0" customWidth="1"/>
    <x:col min="6" max="6" width="71" hidden="0" customWidth="1"/>
  </x:cols>
  <x:sheetData>
    <x:row r="2">
      <x:c r="B2" s="2" t="str">
        <x:v>Smallcase sector coverage | 28 Oct 2026</x:v>
      </x:c>
      <x:c r="C2" s="1"/>
      <x:c r="D2" s="1"/>
      <x:c r="E2" s="1"/>
      <x:c r="F2" s="1"/>
    </x:row>
    <x:row r="3">
      <x:c r="B3" s="1"/>
      <x:c r="C3" s="1"/>
      <x:c r="D3" s="1"/>
      <x:c r="E3" s="1"/>
      <x:c r="F3" s="1"/>
    </x:row>
    <x:row r="4" ht="25" customHeight="1">
      <x:c r="B4" s="18" t="str">
        <x:v>Unique smallcases</x:v>
      </x:c>
      <x:c r="C4" s="18" t="n">
        <x:f>COUNTA('All smallcases'!$O$6:$O$550)</x:f>
        <x:v>545</x:v>
      </x:c>
      <x:c r="D4" s="1"/>
      <x:c r="E4" s="18" t="str">
        <x:v>Unique managers</x:v>
      </x:c>
      <x:c r="F4" s="18" t="n">
        <x:v>92</x:v>
      </x:c>
    </x:row>
    <x:row r="5" ht="25" customHeight="1">
      <x:c r="B5" s="18" t="str">
        <x:v>With stated industry focus</x:v>
      </x:c>
      <x:c r="C5" s="18" t="n">
        <x:f>COUNTIF('All smallcases'!$D$6:$D$550,"Sector / industry theme")</x:f>
        <x:v>139</x:v>
      </x:c>
      <x:c r="D5" s="1"/>
      <x:c r="E5" s="18" t="str">
        <x:v>Detail pages read</x:v>
      </x:c>
      <x:c r="F5" s="18" t="n">
        <x:v>545</x:v>
      </x:c>
    </x:row>
    <x:row r="6">
      <x:c r="B6" s="1"/>
      <x:c r="C6" s="1"/>
      <x:c r="D6" s="1"/>
      <x:c r="E6" s="1"/>
      <x:c r="F6" s="1"/>
    </x:row>
    <x:row r="7">
      <x:c r="B7" s="21" t="str">
        <x:v>Counts measure product coverage; a smallcase can cover multiple sectors.</x:v>
      </x:c>
      <x:c r="C7" s="1"/>
      <x:c r="D7" s="1"/>
      <x:c r="E7" s="1"/>
      <x:c r="F7" s="1"/>
    </x:row>
    <x:row r="8">
      <x:c r="B8" s="1"/>
      <x:c r="C8" s="1"/>
      <x:c r="D8" s="1"/>
      <x:c r="E8" s="1"/>
      <x:c r="F8" s="1"/>
    </x:row>
    <x:row r="9" ht="30" customHeight="1">
      <x:c r="B9" s="13" t="str">
        <x:v>Sector / industry theme</x:v>
      </x:c>
      <x:c r="C9" s="13" t="str">
        <x:v>Smallcases</x:v>
      </x:c>
      <x:c r="D9" s="13" t="str">
        <x:v>Managers</x:v>
      </x:c>
      <x:c r="E9" s="13" t="str">
        <x:v>Share of 545</x:v>
      </x:c>
      <x:c r="F9" s="13" t="str">
        <x:v>Examples</x:v>
      </x:c>
    </x:row>
    <x:row r="10" ht="40" customHeight="1">
      <x:c r="B10" s="22" t="str">
        <x:v>IT, software &amp; digital platforms</x:v>
      </x:c>
      <x:c r="C10" s="22" t="n">
        <x:f>COUNTIF('Sector memberships'!$A$6:$A$201,B10)</x:f>
        <x:v>21</x:v>
      </x:c>
      <x:c r="D10" s="22" t="n">
        <x:v>17</x:v>
      </x:c>
      <x:c r="E10" s="23" t="n">
        <x:f>C10/$C$4</x:f>
        <x:v>0.03853211009174312</x:v>
      </x:c>
      <x:c r="F10" s="22" t="str">
        <x:v>Niveshaay TechStack Theme / AI &amp; Data Center Theme</x:v>
      </x:c>
    </x:row>
    <x:row r="11" ht="40" customHeight="1">
      <x:c r="B11" s="5" t="str">
        <x:v>Banks &amp; NBFCs</x:v>
      </x:c>
      <x:c r="C11" s="5" t="n">
        <x:f>COUNTIF('Sector memberships'!$A$6:$A$201,B11)</x:f>
        <x:v>16</x:v>
      </x:c>
      <x:c r="D11" s="5" t="n">
        <x:v>11</x:v>
      </x:c>
      <x:c r="E11" s="20" t="n">
        <x:f>C11/$C$4</x:f>
        <x:v>0.029357798165137616</x:v>
      </x:c>
      <x:c r="F11" s="5" t="str">
        <x:v>Banking Tracker / Banking Privately Theme</x:v>
      </x:c>
    </x:row>
    <x:row r="12" ht="40" customHeight="1">
      <x:c r="B12" s="22" t="str">
        <x:v>Automobiles, EVs &amp; components</x:v>
      </x:c>
      <x:c r="C12" s="22" t="n">
        <x:f>COUNTIF('Sector memberships'!$A$6:$A$201,B12)</x:f>
        <x:v>15</x:v>
      </x:c>
      <x:c r="D12" s="22" t="n">
        <x:v>12</x:v>
      </x:c>
      <x:c r="E12" s="23" t="n">
        <x:f>C12/$C$4</x:f>
        <x:v>0.027522935779816515</x:v>
      </x:c>
      <x:c r="F12" s="22" t="str">
        <x:v>Electric Mobility Theme / Auto Tracker</x:v>
      </x:c>
    </x:row>
    <x:row r="13" ht="40" customHeight="1">
      <x:c r="B13" s="5" t="str">
        <x:v>AI, data centres &amp; digital infrastructure</x:v>
      </x:c>
      <x:c r="C13" s="5" t="n">
        <x:f>COUNTIF('Sector memberships'!$A$6:$A$201,B13)</x:f>
        <x:v>14</x:v>
      </x:c>
      <x:c r="D13" s="5" t="n">
        <x:v>12</x:v>
      </x:c>
      <x:c r="E13" s="20" t="n">
        <x:f>C13/$C$4</x:f>
        <x:v>0.025688073394495414</x:v>
      </x:c>
      <x:c r="F13" s="5" t="str">
        <x:v>Niveshaay TechStack Theme / AI &amp; Data Center Theme</x:v>
      </x:c>
    </x:row>
    <x:row r="14" ht="40" customHeight="1">
      <x:c r="B14" s="22" t="str">
        <x:v>Consumer, FMCG &amp; durables</x:v>
      </x:c>
      <x:c r="C14" s="22" t="n">
        <x:f>COUNTIF('Sector memberships'!$A$6:$A$201,B14)</x:f>
        <x:v>14</x:v>
      </x:c>
      <x:c r="D14" s="22" t="n">
        <x:v>6</x:v>
      </x:c>
      <x:c r="E14" s="23" t="n">
        <x:f>C14/$C$4</x:f>
        <x:v>0.025688073394495414</x:v>
      </x:c>
      <x:c r="F14" s="22" t="str">
        <x:v>Rising Rural Demand Theme / The Great Indian Middle Class Theme</x:v>
      </x:c>
    </x:row>
    <x:row r="15" ht="40" customHeight="1">
      <x:c r="B15" s="5" t="str">
        <x:v>Defence &amp; aerospace</x:v>
      </x:c>
      <x:c r="C15" s="5" t="n">
        <x:f>COUNTIF('Sector memberships'!$A$6:$A$201,B15)</x:f>
        <x:v>14</x:v>
      </x:c>
      <x:c r="D15" s="5" t="n">
        <x:v>12</x:v>
      </x:c>
      <x:c r="E15" s="20" t="n">
        <x:f>C15/$C$4</x:f>
        <x:v>0.025688073394495414</x:v>
      </x:c>
      <x:c r="F15" s="5" t="str">
        <x:v>Defence Stars Theme / Omni Bharat Defence Theme</x:v>
      </x:c>
    </x:row>
    <x:row r="16" ht="40" customHeight="1">
      <x:c r="B16" s="22" t="str">
        <x:v>Pharma &amp; healthcare</x:v>
      </x:c>
      <x:c r="C16" s="22" t="n">
        <x:f>COUNTIF('Sector memberships'!$A$6:$A$201,B16)</x:f>
        <x:v>14</x:v>
      </x:c>
      <x:c r="D16" s="22" t="n">
        <x:v>12</x:v>
      </x:c>
      <x:c r="E16" s="23" t="n">
        <x:f>C16/$C$4</x:f>
        <x:v>0.025688073394495414</x:v>
      </x:c>
      <x:c r="F16" s="22" t="str">
        <x:v>Pharma Tracker / Divitiae Healthcare Compounders Tracker</x:v>
      </x:c>
    </x:row>
    <x:row r="17" ht="40" customHeight="1">
      <x:c r="B17" s="5" t="str">
        <x:v>Financial services &amp; fintech</x:v>
      </x:c>
      <x:c r="C17" s="5" t="n">
        <x:f>COUNTIF('Sector memberships'!$A$6:$A$201,B17)</x:f>
        <x:v>11</x:v>
      </x:c>
      <x:c r="D17" s="5" t="n">
        <x:v>8</x:v>
      </x:c>
      <x:c r="E17" s="20" t="n">
        <x:f>C17/$C$4</x:f>
        <x:v>0.02018348623853211</x:v>
      </x:c>
      <x:c r="F17" s="5" t="str">
        <x:v>Banking &amp; Beyond Tracker / Finance Stars - Non Banks Tracker</x:v>
      </x:c>
    </x:row>
    <x:row r="18" ht="40" customHeight="1">
      <x:c r="B18" s="22" t="str">
        <x:v>Power, utilities &amp; energy</x:v>
      </x:c>
      <x:c r="C18" s="22" t="n">
        <x:f>COUNTIF('Sector memberships'!$A$6:$A$201,B18)</x:f>
        <x:v>11</x:v>
      </x:c>
      <x:c r="D18" s="22" t="n">
        <x:v>8</x:v>
      </x:c>
      <x:c r="E18" s="23" t="n">
        <x:f>C18/$C$4</x:f>
        <x:v>0.02018348623853211</x:v>
      </x:c>
      <x:c r="F18" s="22" t="str">
        <x:v>AI &amp; Data Center Theme / Energy Tracker</x:v>
      </x:c>
    </x:row>
    <x:row r="19" ht="40" customHeight="1">
      <x:c r="B19" s="5" t="str">
        <x:v>Manufacturing &amp; industrials</x:v>
      </x:c>
      <x:c r="C19" s="5" t="n">
        <x:f>COUNTIF('Sector memberships'!$A$6:$A$201,B19)</x:f>
        <x:v>10</x:v>
      </x:c>
      <x:c r="D19" s="5" t="n">
        <x:v>10</x:v>
      </x:c>
      <x:c r="E19" s="20" t="n">
        <x:f>C19/$C$4</x:f>
        <x:v>0.01834862385321101</x:v>
      </x:c>
      <x:c r="F19" s="5" t="str">
        <x:v>Electronics Manufacturing Sector Tracker / High Quality Right Price Theme</x:v>
      </x:c>
    </x:row>
    <x:row r="20" ht="40" customHeight="1">
      <x:c r="B20" s="22" t="str">
        <x:v>Renewables, clean energy &amp; recycling</x:v>
      </x:c>
      <x:c r="C20" s="22" t="n">
        <x:f>COUNTIF('Sector memberships'!$A$6:$A$201,B20)</x:f>
        <x:v>9</x:v>
      </x:c>
      <x:c r="D20" s="22" t="n">
        <x:v>9</x:v>
      </x:c>
      <x:c r="E20" s="23" t="n">
        <x:f>C20/$C$4</x:f>
        <x:v>0.01651376146788991</x:v>
      </x:c>
      <x:c r="F20" s="22" t="str">
        <x:v>Green Energy Theme / Bharat Green Theme</x:v>
      </x:c>
    </x:row>
    <x:row r="21" ht="40" customHeight="1">
      <x:c r="B21" s="5" t="str">
        <x:v>Capital markets &amp; wealth management</x:v>
      </x:c>
      <x:c r="C21" s="5" t="n">
        <x:f>COUNTIF('Sector memberships'!$A$6:$A$201,B21)</x:f>
        <x:v>7</x:v>
      </x:c>
      <x:c r="D21" s="5" t="n">
        <x:v>6</x:v>
      </x:c>
      <x:c r="E21" s="20" t="n">
        <x:f>C21/$C$4</x:f>
        <x:v>0.012844036697247707</x:v>
      </x:c>
      <x:c r="F21" s="5" t="str">
        <x:v>Capital Markets Tracker / Capital Markets Theme</x:v>
      </x:c>
    </x:row>
    <x:row r="22" ht="40" customHeight="1">
      <x:c r="B22" s="22" t="str">
        <x:v>Metals, mining &amp; minerals</x:v>
      </x:c>
      <x:c r="C22" s="22" t="n">
        <x:f>COUNTIF('Sector memberships'!$A$6:$A$201,B22)</x:f>
        <x:v>7</x:v>
      </x:c>
      <x:c r="D22" s="22" t="n">
        <x:v>7</x:v>
      </x:c>
      <x:c r="E22" s="23" t="n">
        <x:f>C22/$C$4</x:f>
        <x:v>0.012844036697247707</x:v>
      </x:c>
      <x:c r="F22" s="22" t="str">
        <x:v>Metal Tracker / Metal Stars Tracker</x:v>
      </x:c>
    </x:row>
    <x:row r="23" ht="40" customHeight="1">
      <x:c r="B23" s="5" t="str">
        <x:v>Infrastructure &amp; construction</x:v>
      </x:c>
      <x:c r="C23" s="5" t="n">
        <x:f>COUNTIF('Sector memberships'!$A$6:$A$201,B23)</x:f>
        <x:v>6</x:v>
      </x:c>
      <x:c r="D23" s="5" t="n">
        <x:v>6</x:v>
      </x:c>
      <x:c r="E23" s="20" t="n">
        <x:f>C23/$C$4</x:f>
        <x:v>0.011009174311926606</x:v>
      </x:c>
      <x:c r="F23" s="5" t="str">
        <x:v>Infra Tracker / CWA Infrastructure Theme</x:v>
      </x:c>
    </x:row>
    <x:row r="24" ht="40" customHeight="1">
      <x:c r="B24" s="22" t="str">
        <x:v>Logistics, transport &amp; aviation</x:v>
      </x:c>
      <x:c r="C24" s="22" t="n">
        <x:f>COUNTIF('Sector memberships'!$A$6:$A$201,B24)</x:f>
        <x:v>5</x:v>
      </x:c>
      <x:c r="D24" s="22" t="n">
        <x:v>5</x:v>
      </x:c>
      <x:c r="E24" s="23" t="n">
        <x:f>C24/$C$4</x:f>
        <x:v>0.009174311926605505</x:v>
      </x:c>
      <x:c r="F24" s="22" t="str">
        <x:v>Transporting India Theme / Aviation &amp; Aerospace Quant</x:v>
      </x:c>
    </x:row>
    <x:row r="25" ht="40" customHeight="1">
      <x:c r="B25" s="5" t="str">
        <x:v>Railways</x:v>
      </x:c>
      <x:c r="C25" s="5" t="n">
        <x:f>COUNTIF('Sector memberships'!$A$6:$A$201,B25)</x:f>
        <x:v>5</x:v>
      </x:c>
      <x:c r="D25" s="5" t="n">
        <x:v>4</x:v>
      </x:c>
      <x:c r="E25" s="20" t="n">
        <x:f>C25/$C$4</x:f>
        <x:v>0.009174311926605505</x:v>
      </x:c>
      <x:c r="F25" s="5" t="str">
        <x:v>Railways &amp; Defence Tracker / GDR - Green Energy, Defense, Railway Theme</x:v>
      </x:c>
    </x:row>
    <x:row r="26" ht="40" customHeight="1">
      <x:c r="B26" s="22" t="str">
        <x:v>Electronics &amp; semiconductors</x:v>
      </x:c>
      <x:c r="C26" s="22" t="n">
        <x:f>COUNTIF('Sector memberships'!$A$6:$A$201,B26)</x:f>
        <x:v>4</x:v>
      </x:c>
      <x:c r="D26" s="22" t="n">
        <x:v>4</x:v>
      </x:c>
      <x:c r="E26" s="23" t="n">
        <x:f>C26/$C$4</x:f>
        <x:v>0.007339449541284404</x:v>
      </x:c>
      <x:c r="F26" s="22" t="str">
        <x:v>Electronics Manufacturing Sector Tracker / Ikashi Emerging India Theme</x:v>
      </x:c>
    </x:row>
    <x:row r="27" ht="40" customHeight="1">
      <x:c r="B27" s="5" t="str">
        <x:v>Real estate, housing &amp; REITs</x:v>
      </x:c>
      <x:c r="C27" s="5" t="n">
        <x:f>COUNTIF('Sector memberships'!$A$6:$A$201,B27)</x:f>
        <x:v>3</x:v>
      </x:c>
      <x:c r="D27" s="5" t="n">
        <x:v>3</x:v>
      </x:c>
      <x:c r="E27" s="20" t="n">
        <x:f>C27/$C$4</x:f>
        <x:v>0.005504587155963303</x:v>
      </x:c>
      <x:c r="F27" s="5" t="str">
        <x:v>Realty Tracker / Prime Real Estate Income - REIT Portfolio Theme</x:v>
      </x:c>
    </x:row>
    <x:row r="28" ht="40" customHeight="1">
      <x:c r="B28" s="22" t="str">
        <x:v>Insurance</x:v>
      </x:c>
      <x:c r="C28" s="22" t="n">
        <x:f>COUNTIF('Sector memberships'!$A$6:$A$201,B28)</x:f>
        <x:v>2</x:v>
      </x:c>
      <x:c r="D28" s="22" t="n">
        <x:v>2</x:v>
      </x:c>
      <x:c r="E28" s="23" t="n">
        <x:f>C28/$C$4</x:f>
        <x:v>0.003669724770642202</x:v>
      </x:c>
      <x:c r="F28" s="22" t="str">
        <x:v>Insurance Tracker / Cherrypicked PSU Financials Theme</x:v>
      </x:c>
    </x:row>
    <x:row r="29" ht="40" customHeight="1">
      <x:c r="B29" s="5" t="str">
        <x:v>Oil &amp; gas</x:v>
      </x:c>
      <x:c r="C29" s="5" t="n">
        <x:f>COUNTIF('Sector memberships'!$A$6:$A$201,B29)</x:f>
        <x:v>2</x:v>
      </x:c>
      <x:c r="D29" s="5" t="n">
        <x:v>2</x:v>
      </x:c>
      <x:c r="E29" s="20" t="n">
        <x:f>C29/$C$4</x:f>
        <x:v>0.003669724770642202</x:v>
      </x:c>
      <x:c r="F29" s="5" t="str">
        <x:v>GVSR - Oil &amp; Gas Sector Tracker-Value Buys Tracker / India Oil &amp; Gas Infra Tracker</x:v>
      </x:c>
    </x:row>
    <x:row r="30" ht="40" customHeight="1">
      <x:c r="B30" s="22" t="str">
        <x:v>Water &amp; waste management</x:v>
      </x:c>
      <x:c r="C30" s="22" t="n">
        <x:f>COUNTIF('Sector memberships'!$A$6:$A$201,B30)</x:f>
        <x:v>2</x:v>
      </x:c>
      <x:c r="D30" s="22" t="n">
        <x:v>2</x:v>
      </x:c>
      <x:c r="E30" s="23" t="n">
        <x:f>C30/$C$4</x:f>
        <x:v>0.003669724770642202</x:v>
      </x:c>
      <x:c r="F30" s="22" t="str">
        <x:v>Ikashi Emerging India Theme / GVSR- Smart Engineering Solutions-Value Buys Theme</x:v>
      </x:c>
    </x:row>
    <x:row r="31" ht="40" customHeight="1">
      <x:c r="B31" s="5" t="str">
        <x:v>Chemicals</x:v>
      </x:c>
      <x:c r="C31" s="5" t="n">
        <x:f>COUNTIF('Sector memberships'!$A$6:$A$201,B31)</x:f>
        <x:v>1</x:v>
      </x:c>
      <x:c r="D31" s="5" t="n">
        <x:v>1</x:v>
      </x:c>
      <x:c r="E31" s="20" t="n">
        <x:f>C31/$C$4</x:f>
        <x:v>0.001834862385321101</x:v>
      </x:c>
      <x:c r="F31" s="5" t="str">
        <x:v>EquiSecure Theme</x:v>
      </x:c>
    </x:row>
    <x:row r="32" ht="40" customHeight="1">
      <x:c r="B32" s="22" t="str">
        <x:v>Diversified services</x:v>
      </x:c>
      <x:c r="C32" s="22" t="n">
        <x:f>COUNTIF('Sector memberships'!$A$6:$A$201,B32)</x:f>
        <x:v>1</x:v>
      </x:c>
      <x:c r="D32" s="22" t="n">
        <x:v>1</x:v>
      </x:c>
      <x:c r="E32" s="23" t="n">
        <x:f>C32/$C$4</x:f>
        <x:v>0.001834862385321101</x:v>
      </x:c>
      <x:c r="F32" s="22" t="str">
        <x:v>Service Stars Tracker</x:v>
      </x:c>
    </x:row>
    <x:row r="33" ht="40" customHeight="1">
      <x:c r="B33" s="5" t="str">
        <x:v>Telecom &amp; media</x:v>
      </x:c>
      <x:c r="C33" s="5" t="n">
        <x:f>COUNTIF('Sector memberships'!$A$6:$A$201,B33)</x:f>
        <x:v>1</x:v>
      </x:c>
      <x:c r="D33" s="5" t="n">
        <x:v>1</x:v>
      </x:c>
      <x:c r="E33" s="20" t="n">
        <x:f>C33/$C$4</x:f>
        <x:v>0.001834862385321101</x:v>
      </x:c>
      <x:c r="F33" s="5" t="str">
        <x:v>Service Stars Tracker</x:v>
      </x:c>
    </x:row>
    <x:row r="34" ht="40" customHeight="1">
      <x:c r="B34" s="22" t="str">
        <x:v>Travel, leisure &amp; entertainment</x:v>
      </x:c>
      <x:c r="C34" s="22" t="n">
        <x:f>COUNTIF('Sector memberships'!$A$6:$A$201,B34)</x:f>
        <x:v>1</x:v>
      </x:c>
      <x:c r="D34" s="22" t="n">
        <x:v>1</x:v>
      </x:c>
      <x:c r="E34" s="23" t="n">
        <x:f>C34/$C$4</x:f>
        <x:v>0.001834862385321101</x:v>
      </x:c>
      <x:c r="F34" s="22" t="str">
        <x:v>Happy Hours - Cheers to Good Times Theme</x:v>
      </x:c>
    </x:row>
    <x:row r="35">
      <x:c r="B35" s="1"/>
      <x:c r="C35" s="1"/>
      <x:c r="D35" s="1"/>
      <x:c r="E35" s="1"/>
      <x:c r="F35" s="1"/>
    </x:row>
    <x:row r="36">
      <x:c r="B36" s="1"/>
      <x:c r="C36" s="1"/>
      <x:c r="D36" s="1"/>
      <x:c r="E36" s="1"/>
      <x:c r="F36" s="1"/>
    </x:row>
    <x:row r="37">
      <x:c r="B37" s="1"/>
      <x:c r="C37" s="1"/>
      <x:c r="D37" s="1"/>
      <x:c r="E37" s="1"/>
      <x:c r="F37" s="1"/>
    </x:row>
    <x:row r="38">
      <x:c r="B38" s="1" t="str">
        <x:v>The rest of the catalogue includes strategies and cross-sector themes</x:v>
      </x:c>
      <x:c r="C38" s="1"/>
      <x:c r="D38" s="1"/>
      <x:c r="E38" s="1"/>
      <x:c r="F38" s="1"/>
    </x:row>
    <x:row r="39">
      <x:c r="B39" s="1"/>
      <x:c r="C39" s="1"/>
      <x:c r="D39" s="1"/>
      <x:c r="E39" s="1"/>
      <x:c r="F39" s="1"/>
    </x:row>
    <x:row r="40" ht="30" customHeight="1">
      <x:c r="B40" s="13" t="str">
        <x:v>Portfolio coverage type</x:v>
      </x:c>
      <x:c r="C40" s="13" t="str">
        <x:v>Smallcases</x:v>
      </x:c>
      <x:c r="D40" s="1"/>
      <x:c r="E40" s="1"/>
      <x:c r="F40" s="1"/>
    </x:row>
    <x:row r="41">
      <x:c r="B41" s="1" t="str">
        <x:v>Diversified / strategy</x:v>
      </x:c>
      <x:c r="C41" s="1" t="n">
        <x:f>COUNTIF('All smallcases'!$D$6:$D$550,B41)</x:f>
        <x:v>315</x:v>
      </x:c>
      <x:c r="D41" s="1"/>
      <x:c r="E41" s="1"/>
      <x:c r="F41" s="1"/>
    </x:row>
    <x:row r="42">
      <x:c r="B42" s="1" t="str">
        <x:v>Sector / industry theme</x:v>
      </x:c>
      <x:c r="C42" s="1" t="n">
        <x:f>COUNTIF('All smallcases'!$D$6:$D$550,B42)</x:f>
        <x:v>139</x:v>
      </x:c>
      <x:c r="D42" s="1"/>
      <x:c r="E42" s="1"/>
      <x:c r="F42" s="1"/>
    </x:row>
    <x:row r="43">
      <x:c r="B43" s="1" t="str">
        <x:v>Asset allocation / target date</x:v>
      </x:c>
      <x:c r="C43" s="1" t="n">
        <x:f>COUNTIF('All smallcases'!$D$6:$D$550,B43)</x:f>
        <x:v>63</x:v>
      </x:c>
      <x:c r="D43" s="1"/>
      <x:c r="E43" s="1"/>
      <x:c r="F43" s="1"/>
    </x:row>
    <x:row r="44">
      <x:c r="B44" s="1" t="str">
        <x:v>Precious metals / bullion</x:v>
      </x:c>
      <x:c r="C44" s="1" t="n">
        <x:f>COUNTIF('All smallcases'!$D$6:$D$550,B44)</x:f>
        <x:v>2</x:v>
      </x:c>
      <x:c r="D44" s="1"/>
      <x:c r="E44" s="1"/>
      <x:c r="F44" s="1"/>
    </x:row>
    <x:row r="45">
      <x:c r="B45" s="1" t="str">
        <x:v>Ethical / ESG screen</x:v>
      </x:c>
      <x:c r="C45" s="1" t="n">
        <x:f>COUNTIF('All smallcases'!$D$6:$D$550,B45)</x:f>
        <x:v>4</x:v>
      </x:c>
      <x:c r="D45" s="1"/>
      <x:c r="E45" s="1"/>
      <x:c r="F45" s="1"/>
    </x:row>
    <x:row r="46">
      <x:c r="B46" s="1" t="str">
        <x:v>Event / ownership / listing theme</x:v>
      </x:c>
      <x:c r="C46" s="1" t="n">
        <x:f>COUNTIF('All smallcases'!$D$6:$D$550,B46)</x:f>
        <x:v>8</x:v>
      </x:c>
      <x:c r="D46" s="1"/>
      <x:c r="E46" s="1"/>
      <x:c r="F46" s="1"/>
    </x:row>
    <x:row r="47">
      <x:c r="B47" s="1" t="str">
        <x:v>Sector / theme rotation</x:v>
      </x:c>
      <x:c r="C47" s="1" t="n">
        <x:f>COUNTIF('All smallcases'!$D$6:$D$550,B47)</x:f>
        <x:v>7</x:v>
      </x:c>
      <x:c r="D47" s="1"/>
      <x:c r="E47" s="1"/>
      <x:c r="F47" s="1"/>
    </x:row>
    <x:row r="48">
      <x:c r="B48" s="1" t="str">
        <x:v>Business group / PSU ownership</x:v>
      </x:c>
      <x:c r="C48" s="1" t="n">
        <x:f>COUNTIF('All smallcases'!$D$6:$D$550,B48)</x:f>
        <x:v>7</x:v>
      </x:c>
      <x:c r="D48" s="1"/>
      <x:c r="E48" s="1"/>
      <x:c r="F48" s="1"/>
    </x:row>
    <x:row r="49">
      <x:c r="B49" s="1"/>
      <x:c r="C49" s="1"/>
      <x:c r="D49" s="1"/>
      <x:c r="E49" s="1"/>
      <x:c r="F49" s="1"/>
    </x:row>
    <x:row r="50">
      <x:c r="B50" s="1"/>
      <x:c r="C50" s="1"/>
      <x:c r="D50" s="1"/>
      <x:c r="E50" s="1"/>
      <x:c r="F50" s="1"/>
    </x:row>
    <x:row r="51">
      <x:c r="B51" s="1"/>
      <x:c r="C51" s="1"/>
      <x:c r="D51" s="1"/>
      <x:c r="E51" s="1"/>
      <x:c r="F51" s="1"/>
    </x:row>
    <x:row r="52" ht="43" customHeight="1">
      <x:c r="B52" s="24" t="str">
        <x:v>Scope</x:v>
      </x:c>
      <x:c r="C52" s="14" t="str">
        <x:v>Exact supplied listing: IN Stocks &amp; ETFs (ETI), all access/subscription prices, include new smallcases, popularity order.</x:v>
      </x:c>
      <x:c r="D52" s="14"/>
      <x:c r="E52" s="14"/>
      <x:c r="F52" s="14"/>
    </x:row>
    <x:row r="53" ht="43" customHeight="1">
      <x:c r="B53" s="24" t="str">
        <x:v>Completeness</x:v>
      </x:c>
      <x:c r="C53" s="14" t="str">
        <x:v>Load more disappeared at 553 cards; deduplicated by detail URL/ID to 545 unique smallcases. Eight duplicate cards removed.</x:v>
      </x:c>
      <x:c r="D53" s="14"/>
      <x:c r="E53" s="14"/>
      <x:c r="F53" s="14"/>
    </x:row>
    <x:row r="54" ht="43" customHeight="1">
      <x:c r="B54" s="24" t="str">
        <x:v>How to interpret</x:v>
      </x:c>
      <x:c r="C54" s="14" t="str">
        <x:v>Tags describe advertised investment mandates from titles, descriptions and selected public rationale. They are analyst classifications, not official sector labels.</x:v>
      </x:c>
      <x:c r="D54" s="14"/>
      <x:c r="E54" s="14"/>
      <x:c r="F54" s="14"/>
    </x:row>
    <x:row r="55" ht="43" customHeight="1">
      <x:c r="B55" s="24" t="str">
        <x:v>Current holdings</x:v>
      </x:c>
      <x:c r="C55" s="14" t="str">
        <x:v>No holdings or portfolio sector weights were audited. Broad momentum/value portfolios may currently own any sector; no exposure is inferred for them.</x:v>
      </x:c>
      <x:c r="D55" s="14"/>
      <x:c r="E55" s="14"/>
      <x:c r="F55" s="14"/>
    </x:row>
    <x:row r="56" ht="43" customHeight="1">
      <x:c r="B56" s="24" t="str">
        <x:v>Counting</x:v>
      </x:c>
      <x:c r="C56" s="14" t="str">
        <x:v>Sector counts include primary and additional stated sectors. Totals overlap. Manager counts are distinct publisher names within each sector, captured at the snapshot date.</x:v>
      </x:c>
      <x:c r="D56" s="14"/>
      <x:c r="E56" s="14"/>
      <x:c r="F56" s="14"/>
    </x:row>
    <x:row r="57" ht="43" customHeight="1">
      <x:c r="B57" s="24" t="str">
        <x:v>Price fields</x:v>
      </x:c>
      <x:c r="C57" s="14" t="str">
        <x:v>Minimum amounts and monthly starting prices are the listing snapshot, not recommended investment sizes or actual billed subscription totals. Blank fee means unavailable or free; see Access.</x:v>
      </x:c>
      <x:c r="D57" s="14"/>
      <x:c r="E57" s="14"/>
      <x:c r="F57" s="14"/>
    </x:row>
    <x:row r="58" ht="43" customHeight="1">
      <x:c r="B58" s="24" t="str">
        <x:v>Dates</x:v>
      </x:c>
      <x:c r="C58" s="14" t="str">
        <x:v>Last rebalance is the date reported on each public detail page; it is not the data-capture date. Listing order can change and is not an investment ranking.</x:v>
      </x:c>
      <x:c r="D58" s="14"/>
      <x:c r="E58" s="14"/>
      <x:c r="F58" s="14"/>
    </x:row>
    <x:row r="59" ht="43" customHeight="1">
      <x:c r="B59" s="24" t="str">
        <x:v>Tracking</x:v>
      </x:c>
      <x:c r="C59" s="14" t="str">
        <x:v>This is a dated Excel snapshot. No recurring refresh or change monitor has been configured. Revisit the source URLs for subsequent changes.</x:v>
      </x:c>
      <x:c r="D59" s="14"/>
      <x:c r="E59" s="14"/>
      <x:c r="F59" s="14"/>
    </x:row>
    <x:row r="60">
      <x:c r="B60" s="1"/>
      <x:c r="C60" s="1"/>
      <x:c r="D60" s="1"/>
      <x:c r="E60" s="1"/>
      <x:c r="F60" s="1"/>
    </x:row>
  </x:sheetData>
  <x:mergeCells>
    <x:mergeCell ref="C52:F52"/>
    <x:mergeCell ref="C53:F53"/>
    <x:mergeCell ref="C54:F54"/>
    <x:mergeCell ref="C55:F55"/>
    <x:mergeCell ref="C56:F56"/>
    <x:mergeCell ref="C57:F57"/>
    <x:mergeCell ref="C58:F58"/>
    <x:mergeCell ref="C59:F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75A7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49" hidden="0" customWidth="1"/>
    <x:col min="3" max="3" width="27" hidden="0" customWidth="1"/>
    <x:col min="4" max="4" width="30" hidden="0" customWidth="1"/>
    <x:col min="5" max="5" width="58" hidden="0" customWidth="1"/>
    <x:col min="6" max="6" width="29" hidden="0" customWidth="1"/>
    <x:col min="7" max="7" width="20" hidden="0" customWidth="1"/>
    <x:col min="8" max="8" width="13" hidden="0" customWidth="1"/>
    <x:col min="9" max="9" width="15" hidden="0" customWidth="1"/>
    <x:col min="10" max="10" width="19" hidden="0" customWidth="1"/>
    <x:col min="11" max="11" width="78" hidden="0" customWidth="1"/>
    <x:col min="12" max="12" width="39" hidden="0" customWidth="1"/>
    <x:col min="13" max="13" width="17" hidden="0" customWidth="1"/>
    <x:col min="14" max="14" width="70" hidden="0" customWidth="1"/>
    <x:col min="15" max="15" width="23" hidden="0" customWidth="1"/>
    <x:col min="16" max="16" width="44" hidden="0" customWidth="1"/>
  </x:cols>
  <x:sheetData>
    <x:row r="2">
      <x:c r="A2" s="2" t="str">
        <x:v>Smallcase coverage tracker | 28 Oct 2026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545 unique smallcases | Exact supplied filters | Public mandates; holdings and weights not audited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 customHeight="1">
      <x:c r="A5" s="13" t="str">
        <x:v>Listing order</x:v>
      </x:c>
      <x:c r="B5" s="13" t="str">
        <x:v>Smallcase</x:v>
      </x:c>
      <x:c r="C5" s="13" t="str">
        <x:v>Manager</x:v>
      </x:c>
      <x:c r="D5" s="13" t="str">
        <x:v>Coverage type</x:v>
      </x:c>
      <x:c r="E5" s="13" t="str">
        <x:v>Stated sectors / industries</x:v>
      </x:c>
      <x:c r="F5" s="13" t="str">
        <x:v>Strategy / style</x:v>
      </x:c>
      <x:c r="G5" s="13" t="str">
        <x:v>Min. investment (INR)</x:v>
      </x:c>
      <x:c r="H5" s="13" t="str">
        <x:v>Volatility</x:v>
      </x:c>
      <x:c r="I5" s="13" t="str">
        <x:v>Access</x:v>
      </x:c>
      <x:c r="J5" s="13" t="str">
        <x:v>From / month (INR)</x:v>
      </x:c>
      <x:c r="K5" s="13" t="str">
        <x:v>Listing description</x:v>
      </x:c>
      <x:c r="L5" s="13" t="str">
        <x:v>Sector evidence</x:v>
      </x:c>
      <x:c r="M5" s="13" t="str">
        <x:v>Last rebalance</x:v>
      </x:c>
      <x:c r="N5" s="13" t="str">
        <x:v>Source URL</x:v>
      </x:c>
      <x:c r="O5" s="13" t="str">
        <x:v>Smallcase ID</x:v>
      </x:c>
      <x:c r="P5" s="13" t="str">
        <x:v>Other thematic focus</x:v>
      </x:c>
    </x:row>
    <x:row r="6" ht="60" customHeight="1">
      <x:c r="A6" s="4" t="n">
        <x:v>1</x:v>
      </x:c>
      <x:c r="B6" s="5" t="str">
        <x:v>Mid and Small Cap Focused Portfolio Fundamental</x:v>
      </x:c>
      <x:c r="C6" s="5" t="str">
        <x:v>Niveshaay</x:v>
      </x:c>
      <x:c r="D6" s="5" t="str">
        <x:v>Diversified / strategy</x:v>
      </x:c>
      <x:c r="E6" s="5" t="str">
        <x:v>No specific industry mandate identified</x:v>
      </x:c>
      <x:c r="F6" s="5" t="str">
        <x:v>Fundamental / growth / quality</x:v>
      </x:c>
      <x:c r="G6" s="6" t="n">
        <x:v>96803</x:v>
      </x:c>
      <x:c r="H6" s="4" t="str">
        <x:v>High</x:v>
      </x:c>
      <x:c r="I6" s="4" t="str">
        <x:v>Fee based</x:v>
      </x:c>
      <x:c r="J6" s="6" t="n">
        <x:v>1083</x:v>
      </x:c>
      <x:c r="K6" s="5" t="str">
        <x:v>This portfolio contains mid and small cap size companies available at reasonable valuations with strong market hold.</x:v>
      </x:c>
      <x:c r="L6" s="5" t="str">
        <x:v>No sector tags assigned; see description</x:v>
      </x:c>
      <x:c r="M6" s="7" t="d">
        <x:v>2026-09-23T00:00:00.000Z</x:v>
      </x:c>
      <x:c r="N6" s="8" t="str">
        <x:v>https://www.smallcase.com/smallcase/mid-and-small-cap-focused-portfolio-NIVMO_0001</x:v>
      </x:c>
      <x:c r="O6" s="4" t="str">
        <x:v>NIVMO_0001</x:v>
      </x:c>
      <x:c r="P6" s="5" t="str">
        <x:v>Diversified; sector mandate not specified</x:v>
      </x:c>
    </x:row>
    <x:row r="7" ht="60" customHeight="1">
      <x:c r="A7" s="4" t="n">
        <x:v>2</x:v>
      </x:c>
      <x:c r="B7" s="5" t="str">
        <x:v>Niveshaay TechStack Theme</x:v>
      </x:c>
      <x:c r="C7" s="5" t="str">
        <x:v>Niveshaay</x:v>
      </x:c>
      <x:c r="D7" s="5" t="str">
        <x:v>Sector / industry theme</x:v>
      </x:c>
      <x:c r="E7" s="5" t="str">
        <x:v>AI, data centres &amp; digital infrastructure; IT, software &amp; digital platforms</x:v>
      </x:c>
      <x:c r="F7" s="5" t="str">
        <x:v>Other / not specified</x:v>
      </x:c>
      <x:c r="G7" s="6" t="n">
        <x:v>104520</x:v>
      </x:c>
      <x:c r="H7" s="4" t="str">
        <x:v>High</x:v>
      </x:c>
      <x:c r="I7" s="4" t="str">
        <x:v>Fee based</x:v>
      </x:c>
      <x:c r="J7" s="6" t="n">
        <x:v>786</x:v>
      </x:c>
      <x:c r="K7" s="5" t="str">
        <x:v>A curated basket on India's AI build-out &amp; digital economy across the full stack.</x:v>
      </x:c>
      <x:c r="L7" s="5" t="str">
        <x:v>Title and listing description</x:v>
      </x:c>
      <x:c r="M7" s="7" t="d">
        <x:v>2026-08-20T00:00:00.000Z</x:v>
      </x:c>
      <x:c r="N7" s="8" t="str">
        <x:v>https://www.smallcase.com/smallcase/niveshaay-techstack-theme-NIVNM_0003</x:v>
      </x:c>
      <x:c r="O7" s="4" t="str">
        <x:v>NIVNM_0003</x:v>
      </x:c>
      <x:c r="P7" s="5" t="str"/>
    </x:row>
    <x:row r="8" ht="60" customHeight="1">
      <x:c r="A8" s="4" t="n">
        <x:v>3</x:v>
      </x:c>
      <x:c r="B8" s="5" t="str">
        <x:v>Equity &amp; Gold Asset Allocation</x:v>
      </x:c>
      <x:c r="C8" s="5" t="str">
        <x:v>Windmill Capital</x:v>
      </x:c>
      <x:c r="D8" s="5" t="str">
        <x:v>Asset allocation / target date</x:v>
      </x:c>
      <x:c r="E8" s="5" t="str">
        <x:v>No specific industry mandate identified</x:v>
      </x:c>
      <x:c r="F8" s="5" t="str">
        <x:v>Asset allocation</x:v>
      </x:c>
      <x:c r="G8" s="6" t="n">
        <x:v>369</x:v>
      </x:c>
      <x:c r="H8" s="4" t="str">
        <x:v>Medium</x:v>
      </x:c>
      <x:c r="I8" s="4" t="str">
        <x:v>Free access</x:v>
      </x:c>
      <x:c r="J8" s="6"/>
      <x:c r="K8" s="5" t="str">
        <x:v>Create wealth with equities, stay protected with Gold. The sweet spot</x:v>
      </x:c>
      <x:c r="L8" s="5" t="str">
        <x:v>No sector tags assigned; see description</x:v>
      </x:c>
      <x:c r="M8" s="7" t="d">
        <x:v>2026-10-05T00:00:00.000Z</x:v>
      </x:c>
      <x:c r="N8" s="8" t="str">
        <x:v>https://www.smallcase.com/smallcase/equity-and-gold-SCET_0005</x:v>
      </x:c>
      <x:c r="O8" s="4" t="str">
        <x:v>SCET_0005</x:v>
      </x:c>
      <x:c r="P8" s="5" t="str">
        <x:v>Asset allocation / target date</x:v>
      </x:c>
    </x:row>
    <x:row r="9" ht="60" customHeight="1">
      <x:c r="A9" s="4" t="n">
        <x:v>4</x:v>
      </x:c>
      <x:c r="B9" s="5" t="str">
        <x:v>Timeless Asset Allocation</x:v>
      </x:c>
      <x:c r="C9" s="5" t="str">
        <x:v>Windmill Capital</x:v>
      </x:c>
      <x:c r="D9" s="5" t="str">
        <x:v>Asset allocation / target date</x:v>
      </x:c>
      <x:c r="E9" s="5" t="str">
        <x:v>No specific industry mandate identified</x:v>
      </x:c>
      <x:c r="F9" s="5" t="str">
        <x:v>Asset allocation</x:v>
      </x:c>
      <x:c r="G9" s="6" t="n">
        <x:v>2966</x:v>
      </x:c>
      <x:c r="H9" s="4" t="str">
        <x:v>Low</x:v>
      </x:c>
      <x:c r="I9" s="4" t="str">
        <x:v>Free access</x:v>
      </x:c>
      <x:c r="J9" s="6"/>
      <x:c r="K9" s="5" t="str">
        <x:v>Core all-weather portfolio diversified across equity, gold &amp; fixed income for all market conditions</x:v>
      </x:c>
      <x:c r="L9" s="5" t="str">
        <x:v>No sector tags assigned; see description</x:v>
      </x:c>
      <x:c r="M9" s="7" t="d">
        <x:v>2026-10-05T00:00:00.000Z</x:v>
      </x:c>
      <x:c r="N9" s="8" t="str">
        <x:v>https://www.smallcase.com/smallcase/timeless-asset-allocation-SCAW_0001</x:v>
      </x:c>
      <x:c r="O9" s="4" t="str">
        <x:v>SCAW_0001</x:v>
      </x:c>
      <x:c r="P9" s="5" t="str">
        <x:v>Asset allocation / target date</x:v>
      </x:c>
    </x:row>
    <x:row r="10" ht="60" customHeight="1">
      <x:c r="A10" s="4" t="n">
        <x:v>5</x:v>
      </x:c>
      <x:c r="B10" s="5" t="str">
        <x:v>Electronics Manufacturing Sector Tracker</x:v>
      </x:c>
      <x:c r="C10" s="5" t="str">
        <x:v>Growth Investing</x:v>
      </x:c>
      <x:c r="D10" s="5" t="str">
        <x:v>Sector / industry theme</x:v>
      </x:c>
      <x:c r="E10" s="5" t="str">
        <x:v>Electronics &amp; semiconductors; Manufacturing &amp; industrials</x:v>
      </x:c>
      <x:c r="F10" s="5" t="str">
        <x:v>Other / not specified</x:v>
      </x:c>
      <x:c r="G10" s="6" t="n">
        <x:v>52083</x:v>
      </x:c>
      <x:c r="H10" s="4" t="str">
        <x:v>High</x:v>
      </x:c>
      <x:c r="I10" s="4" t="str">
        <x:v>Fee based</x:v>
      </x:c>
      <x:c r="J10" s="6" t="n">
        <x:v>729</x:v>
      </x:c>
      <x:c r="K10" s="5" t="str">
        <x:v>Make in India Electronics Manufacturing Smallcase</x:v>
      </x:c>
      <x:c r="L10" s="5" t="str">
        <x:v>Title and listing description</x:v>
      </x:c>
      <x:c r="M10" s="7" t="d">
        <x:v>2026-10-28T00:00:00.000Z</x:v>
      </x:c>
      <x:c r="N10" s="8" t="str">
        <x:v>https://www.smallcase.com/smallcase/electronics-manufacturing-sector-tracker-GRINTR_0002</x:v>
      </x:c>
      <x:c r="O10" s="4" t="str">
        <x:v>GRINTR_0002</x:v>
      </x:c>
      <x:c r="P10" s="5" t="str"/>
    </x:row>
    <x:row r="11" ht="60" customHeight="1">
      <x:c r="A11" s="4" t="n">
        <x:v>6</x:v>
      </x:c>
      <x:c r="B11" s="5" t="str">
        <x:v>Green Energy Theme</x:v>
      </x:c>
      <x:c r="C11" s="5" t="str">
        <x:v>Niveshaay</x:v>
      </x:c>
      <x:c r="D11" s="5" t="str">
        <x:v>Sector / industry theme</x:v>
      </x:c>
      <x:c r="E11" s="5" t="str">
        <x:v>Renewables, clean energy &amp; recycling</x:v>
      </x:c>
      <x:c r="F11" s="5" t="str">
        <x:v>Other / not specified</x:v>
      </x:c>
      <x:c r="G11" s="6" t="n">
        <x:v>138187</x:v>
      </x:c>
      <x:c r="H11" s="4" t="str">
        <x:v>High</x:v>
      </x:c>
      <x:c r="I11" s="4" t="str">
        <x:v>Fee based</x:v>
      </x:c>
      <x:c r="J11" s="6" t="n">
        <x:v>1075</x:v>
      </x:c>
      <x:c r="K11" s="5" t="str">
        <x:v>A portfolio of stocks, which will get benefit from the Renewable Energy sector development.</x:v>
      </x:c>
      <x:c r="L11" s="5" t="str">
        <x:v>Title and listing description</x:v>
      </x:c>
      <x:c r="M11" s="7" t="d">
        <x:v>2026-09-17T00:00:00.000Z</x:v>
      </x:c>
      <x:c r="N11" s="8" t="str">
        <x:v>https://www.smallcase.com/smallcase/green-energy-portfolio-NIVTR_0001</x:v>
      </x:c>
      <x:c r="O11" s="4" t="str">
        <x:v>NIVTR_0001</x:v>
      </x:c>
      <x:c r="P11" s="5" t="str"/>
    </x:row>
    <x:row r="12" ht="60" customHeight="1">
      <x:c r="A12" s="4" t="n">
        <x:v>7</x:v>
      </x:c>
      <x:c r="B12" s="5" t="str">
        <x:v>Precious Metals Tracker</x:v>
      </x:c>
      <x:c r="C12" s="5" t="str">
        <x:v>Zerodha Fund House</x:v>
      </x:c>
      <x:c r="D12" s="5" t="str">
        <x:v>Precious metals / bullion</x:v>
      </x:c>
      <x:c r="E12" s="5" t="str">
        <x:v>No specific industry mandate identified</x:v>
      </x:c>
      <x:c r="F12" s="5" t="str">
        <x:v>Precious metals</x:v>
      </x:c>
      <x:c r="G12" s="6" t="n">
        <x:v>41</x:v>
      </x:c>
      <x:c r="H12" s="4" t="str">
        <x:v>High</x:v>
      </x:c>
      <x:c r="I12" s="4" t="str">
        <x:v>Free access</x:v>
      </x:c>
      <x:c r="J12" s="6"/>
      <x:c r="K12" s="5" t="str">
        <x:v>Gold and Silver combined: Easy path to diversify into commodities</x:v>
      </x:c>
      <x:c r="L12" s="5" t="str">
        <x:v>No sector tags assigned; see description</x:v>
      </x:c>
      <x:c r="M12" s="7" t="d">
        <x:v>2026-10-01T00:00:00.000Z</x:v>
      </x:c>
      <x:c r="N12" s="8" t="str">
        <x:v>https://www.smallcase.com/smallcase/precious-metals-tracker-ZEFHTR_0002</x:v>
      </x:c>
      <x:c r="O12" s="4" t="str">
        <x:v>ZEFHTR_0002</x:v>
      </x:c>
      <x:c r="P12" s="5" t="str">
        <x:v>Precious metals / bullion</x:v>
      </x:c>
    </x:row>
    <x:row r="13" ht="60" customHeight="1">
      <x:c r="A13" s="4" t="n">
        <x:v>8</x:v>
      </x:c>
      <x:c r="B13" s="5" t="str">
        <x:v>Midcaps &amp; Gold Asset Allocation</x:v>
      </x:c>
      <x:c r="C13" s="5" t="str">
        <x:v>Zerodha Fund House</x:v>
      </x:c>
      <x:c r="D13" s="5" t="str">
        <x:v>Asset allocation / target date</x:v>
      </x:c>
      <x:c r="E13" s="5" t="str">
        <x:v>No specific industry mandate identified</x:v>
      </x:c>
      <x:c r="F13" s="5" t="str">
        <x:v>Asset allocation</x:v>
      </x:c>
      <x:c r="G13" s="6" t="n">
        <x:v>54</x:v>
      </x:c>
      <x:c r="H13" s="4" t="str">
        <x:v>High</x:v>
      </x:c>
      <x:c r="I13" s="4" t="str">
        <x:v>Free access</x:v>
      </x:c>
      <x:c r="J13" s="6"/>
      <x:c r="K13" s="5" t="str">
        <x:v>Midcaps and Gold: Strategic diversification designed to navigate market cycles</x:v>
      </x:c>
      <x:c r="L13" s="5" t="str">
        <x:v>No sector tags assigned; see description</x:v>
      </x:c>
      <x:c r="M13" s="7" t="d">
        <x:v>2026-10-01T00:00:00.000Z</x:v>
      </x:c>
      <x:c r="N13" s="8" t="str">
        <x:v>https://www.smallcase.com/smallcase/midcaps-and-gold-asset-allocation-ZEFHAA_0003</x:v>
      </x:c>
      <x:c r="O13" s="4" t="str">
        <x:v>ZEFHAA_0003</x:v>
      </x:c>
      <x:c r="P13" s="5" t="str">
        <x:v>Asset allocation / target date</x:v>
      </x:c>
    </x:row>
    <x:row r="14" ht="60" customHeight="1">
      <x:c r="A14" s="4" t="n">
        <x:v>9</x:v>
      </x:c>
      <x:c r="B14" s="5" t="str">
        <x:v>AI &amp; Data Center Theme</x:v>
      </x:c>
      <x:c r="C14" s="5" t="str">
        <x:v>Growth Investing</x:v>
      </x:c>
      <x:c r="D14" s="5" t="str">
        <x:v>Sector / industry theme</x:v>
      </x:c>
      <x:c r="E14" s="5" t="str">
        <x:v>AI, data centres &amp; digital infrastructure; IT, software &amp; digital platforms; Power, utilities &amp; energy</x:v>
      </x:c>
      <x:c r="F14" s="5" t="str">
        <x:v>Other / not specified</x:v>
      </x:c>
      <x:c r="G14" s="6" t="n">
        <x:v>98127</x:v>
      </x:c>
      <x:c r="H14" s="4" t="str">
        <x:v>High</x:v>
      </x:c>
      <x:c r="I14" s="4" t="str">
        <x:v>Fee based</x:v>
      </x:c>
      <x:c r="J14" s="6" t="n">
        <x:v>729</x:v>
      </x:c>
      <x:c r="K14" s="5" t="str">
        <x:v>Bharat data superhighway — the physical power behind every AI, cloud, and digital revolution.</x:v>
      </x:c>
      <x:c r="L14" s="5" t="str">
        <x:v>Title and listing description</x:v>
      </x:c>
      <x:c r="M14" s="7" t="d">
        <x:v>2026-10-28T00:00:00.000Z</x:v>
      </x:c>
      <x:c r="N14" s="8" t="str">
        <x:v>https://www.smallcase.com/smallcase/ai-and-data-center-model-GRINMX_0003</x:v>
      </x:c>
      <x:c r="O14" s="4" t="str">
        <x:v>GRINMX_0003</x:v>
      </x:c>
      <x:c r="P14" s="5" t="str"/>
    </x:row>
    <x:row r="15" ht="60" customHeight="1">
      <x:c r="A15" s="4" t="n">
        <x:v>10</x:v>
      </x:c>
      <x:c r="B15" s="5" t="str">
        <x:v>Defence Stars Theme</x:v>
      </x:c>
      <x:c r="C15" s="5" t="str">
        <x:v>Quantace Research</x:v>
      </x:c>
      <x:c r="D15" s="5" t="str">
        <x:v>Sector / industry theme</x:v>
      </x:c>
      <x:c r="E15" s="5" t="str">
        <x:v>Defence &amp; aerospace</x:v>
      </x:c>
      <x:c r="F15" s="5" t="str">
        <x:v>Fundamental / growth / quality</x:v>
      </x:c>
      <x:c r="G15" s="6" t="n">
        <x:v>127458</x:v>
      </x:c>
      <x:c r="H15" s="4" t="str">
        <x:v>High</x:v>
      </x:c>
      <x:c r="I15" s="4" t="str">
        <x:v>Fee based</x:v>
      </x:c>
      <x:c r="J15" s="6" t="n">
        <x:v>675</x:v>
      </x:c>
      <x:c r="K15" s="5" t="str">
        <x:v>Capture the growth potential of India's rapidly expanding defence sector</x:v>
      </x:c>
      <x:c r="L15" s="5" t="str">
        <x:v>Title and listing description</x:v>
      </x:c>
      <x:c r="M15" s="7" t="d">
        <x:v>2026-10-26T00:00:00.000Z</x:v>
      </x:c>
      <x:c r="N15" s="8" t="str">
        <x:v>https://www.smallcase.com/smallcase/quantace-defence-stars-QURENM_0001</x:v>
      </x:c>
      <x:c r="O15" s="4" t="str">
        <x:v>QURENM_0001</x:v>
      </x:c>
      <x:c r="P15" s="5" t="str"/>
    </x:row>
    <x:row r="16" ht="60" customHeight="1">
      <x:c r="A16" s="4" t="n">
        <x:v>11</x:v>
      </x:c>
      <x:c r="B16" s="5" t="str">
        <x:v>Mid &amp; Smallcap Tracker</x:v>
      </x:c>
      <x:c r="C16" s="5" t="str">
        <x:v>Zerodha Fund House</x:v>
      </x:c>
      <x:c r="D16" s="5" t="str">
        <x:v>Diversified / strategy</x:v>
      </x:c>
      <x:c r="E16" s="5" t="str">
        <x:v>No specific industry mandate identified</x:v>
      </x:c>
      <x:c r="F16" s="5" t="str">
        <x:v>Fundamental / growth / quality</x:v>
      </x:c>
      <x:c r="G16" s="6" t="n">
        <x:v>21</x:v>
      </x:c>
      <x:c r="H16" s="4" t="str">
        <x:v>Medium</x:v>
      </x:c>
      <x:c r="I16" s="4" t="str">
        <x:v>Free access</x:v>
      </x:c>
      <x:c r="J16" s="6"/>
      <x:c r="K16" s="5" t="str">
        <x:v>Mid and Smallcap: Capture the growth potential of mid and small cap companies in one portfolio</x:v>
      </x:c>
      <x:c r="L16" s="5" t="str">
        <x:v>No sector tags assigned; see description</x:v>
      </x:c>
      <x:c r="M16" s="7" t="d">
        <x:v>2026-10-01T00:00:00.000Z</x:v>
      </x:c>
      <x:c r="N16" s="8" t="str">
        <x:v>https://www.smallcase.com/smallcase/mid-and-smallcap-tracker-ZEFHTR_0004</x:v>
      </x:c>
      <x:c r="O16" s="4" t="str">
        <x:v>ZEFHTR_0004</x:v>
      </x:c>
      <x:c r="P16" s="5" t="str">
        <x:v>Diversified; sector mandate not specified</x:v>
      </x:c>
    </x:row>
    <x:row r="17" ht="60" customHeight="1">
      <x:c r="A17" s="4" t="n">
        <x:v>12</x:v>
      </x:c>
      <x:c r="B17" s="5" t="str">
        <x:v>Trends Trilogy Fundamental</x:v>
      </x:c>
      <x:c r="C17" s="5" t="str">
        <x:v>Niveshaay</x:v>
      </x:c>
      <x:c r="D17" s="5" t="str">
        <x:v>Diversified / strategy</x:v>
      </x:c>
      <x:c r="E17" s="5" t="str">
        <x:v>No specific industry mandate identified</x:v>
      </x:c>
      <x:c r="F17" s="5" t="str">
        <x:v>Fundamental / growth / quality</x:v>
      </x:c>
      <x:c r="G17" s="6" t="n">
        <x:v>104535</x:v>
      </x:c>
      <x:c r="H17" s="4" t="str">
        <x:v>High</x:v>
      </x:c>
      <x:c r="I17" s="4" t="str">
        <x:v>Fee based</x:v>
      </x:c>
      <x:c r="J17" s="6" t="n">
        <x:v>1000</x:v>
      </x:c>
      <x:c r="K17" s="5" t="str">
        <x:v>It aptly combines the three inter-related trends of investing: Business, Financial &amp; Price trends</x:v>
      </x:c>
      <x:c r="L17" s="5" t="str">
        <x:v>No sector tags assigned; see description</x:v>
      </x:c>
      <x:c r="M17" s="7" t="d">
        <x:v>2026-09-23T00:00:00.000Z</x:v>
      </x:c>
      <x:c r="N17" s="8" t="str">
        <x:v>https://www.smallcase.com/smallcase/trends-trilogy-NIVMO_0004</x:v>
      </x:c>
      <x:c r="O17" s="4" t="str">
        <x:v>NIVMO_0004</x:v>
      </x:c>
      <x:c r="P17" s="5" t="str">
        <x:v>Diversified; sector mandate not specified</x:v>
      </x:c>
    </x:row>
    <x:row r="18" ht="60" customHeight="1">
      <x:c r="A18" s="4" t="n">
        <x:v>13</x:v>
      </x:c>
      <x:c r="B18" s="5" t="str">
        <x:v>Growth &amp; Value Multicap Model</x:v>
      </x:c>
      <x:c r="C18" s="5" t="str">
        <x:v>Windmill Capital</x:v>
      </x:c>
      <x:c r="D18" s="5" t="str">
        <x:v>Diversified / strategy</x:v>
      </x:c>
      <x:c r="E18" s="5" t="str">
        <x:v>No specific industry mandate identified</x:v>
      </x:c>
      <x:c r="F18" s="5" t="str">
        <x:v>Value / contrarian</x:v>
      </x:c>
      <x:c r="G18" s="6" t="n">
        <x:v>21828</x:v>
      </x:c>
      <x:c r="H18" s="4" t="str">
        <x:v>High</x:v>
      </x:c>
      <x:c r="I18" s="4" t="str">
        <x:v>Fee based</x:v>
      </x:c>
      <x:c r="J18" s="6" t="n">
        <x:v>716</x:v>
      </x:c>
      <x:c r="K18" s="5" t="str">
        <x:v>Low-debt companies showing healthy growth</x:v>
      </x:c>
      <x:c r="L18" s="5" t="str">
        <x:v>No sector tags assigned; see description</x:v>
      </x:c>
      <x:c r="M18" s="7" t="d">
        <x:v>2026-09-15T00:00:00.000Z</x:v>
      </x:c>
      <x:c r="N18" s="8" t="str">
        <x:v>https://www.smallcase.com/smallcase/growth-and-value-multicap-model-SCMO_0016</x:v>
      </x:c>
      <x:c r="O18" s="4" t="str">
        <x:v>SCMO_0016</x:v>
      </x:c>
      <x:c r="P18" s="5" t="str">
        <x:v>Diversified; sector mandate not specified</x:v>
      </x:c>
    </x:row>
    <x:row r="19" ht="60" customHeight="1">
      <x:c r="A19" s="4" t="n">
        <x:v>14</x:v>
      </x:c>
      <x:c r="B19" s="5" t="str">
        <x:v>Value &amp; Momentum Model</x:v>
      </x:c>
      <x:c r="C19" s="5" t="str">
        <x:v>Windmill Capital</x:v>
      </x:c>
      <x:c r="D19" s="5" t="str">
        <x:v>Diversified / strategy</x:v>
      </x:c>
      <x:c r="E19" s="5" t="str">
        <x:v>No specific industry mandate identified</x:v>
      </x:c>
      <x:c r="F19" s="5" t="str">
        <x:v>Momentum / trend</x:v>
      </x:c>
      <x:c r="G19" s="6" t="n">
        <x:v>43475</x:v>
      </x:c>
      <x:c r="H19" s="4" t="str">
        <x:v>High</x:v>
      </x:c>
      <x:c r="I19" s="4" t="str">
        <x:v>Fee based</x:v>
      </x:c>
      <x:c r="J19" s="6" t="n">
        <x:v>1000</x:v>
      </x:c>
      <x:c r="K19" s="5" t="str">
        <x:v>Positive momentum stocks available at a discount to their peers</x:v>
      </x:c>
      <x:c r="L19" s="5" t="str">
        <x:v>No sector tags assigned; see description</x:v>
      </x:c>
      <x:c r="M19" s="7" t="d">
        <x:v>2026-09-16T00:00:00.000Z</x:v>
      </x:c>
      <x:c r="N19" s="8" t="str">
        <x:v>https://www.smallcase.com/smallcase/value-and-momentum-SCMO_0010</x:v>
      </x:c>
      <x:c r="O19" s="4" t="str">
        <x:v>SCMO_0010</x:v>
      </x:c>
      <x:c r="P19" s="5" t="str">
        <x:v>Diversified; sector mandate not specified</x:v>
      </x:c>
    </x:row>
    <x:row r="20" ht="60" customHeight="1">
      <x:c r="A20" s="4" t="n">
        <x:v>15</x:v>
      </x:c>
      <x:c r="B20" s="5" t="str">
        <x:v>Top 100 Stocks - Quant Tracker</x:v>
      </x:c>
      <x:c r="C20" s="5" t="str">
        <x:v>Windmill Capital</x:v>
      </x:c>
      <x:c r="D20" s="5" t="str">
        <x:v>Diversified / strategy</x:v>
      </x:c>
      <x:c r="E20" s="5" t="str">
        <x:v>No specific industry mandate identified</x:v>
      </x:c>
      <x:c r="F20" s="5" t="str">
        <x:v>Quant / factor</x:v>
      </x:c>
      <x:c r="G20" s="6" t="n">
        <x:v>3063</x:v>
      </x:c>
      <x:c r="H20" s="4" t="str">
        <x:v>Medium</x:v>
      </x:c>
      <x:c r="I20" s="4" t="str">
        <x:v>Free access</x:v>
      </x:c>
      <x:c r="J20" s="6"/>
      <x:c r="K20" s="5" t="str">
        <x:v>India's most powerful companies in one portfolio. Solid stability</x:v>
      </x:c>
      <x:c r="L20" s="5" t="str">
        <x:v>No sector tags assigned; see description</x:v>
      </x:c>
      <x:c r="M20" s="7" t="d">
        <x:v>2026-10-05T00:00:00.000Z</x:v>
      </x:c>
      <x:c r="N20" s="8" t="str">
        <x:v>https://www.smallcase.com/smallcase/top-100-stocks-SCET_0004</x:v>
      </x:c>
      <x:c r="O20" s="4" t="str">
        <x:v>SCET_0004</x:v>
      </x:c>
      <x:c r="P20" s="5" t="str">
        <x:v>Diversified; sector mandate not specified</x:v>
      </x:c>
    </x:row>
    <x:row r="21" ht="60" customHeight="1">
      <x:c r="A21" s="4" t="n">
        <x:v>16</x:v>
      </x:c>
      <x:c r="B21" s="5" t="str">
        <x:v>F.L.U.I.D - Q Quant</x:v>
      </x:c>
      <x:c r="C21" s="5" t="str">
        <x:v>Shashank Sunil Udupa</x:v>
      </x:c>
      <x:c r="D21" s="5" t="str">
        <x:v>Diversified / strategy</x:v>
      </x:c>
      <x:c r="E21" s="5" t="str">
        <x:v>No specific industry mandate identified</x:v>
      </x:c>
      <x:c r="F21" s="5" t="str">
        <x:v>Momentum / trend</x:v>
      </x:c>
      <x:c r="G21" s="6" t="n">
        <x:v>2295</x:v>
      </x:c>
      <x:c r="H21" s="4" t="str">
        <x:v>High</x:v>
      </x:c>
      <x:c r="I21" s="4" t="str">
        <x:v>Fee based</x:v>
      </x:c>
      <x:c r="J21" s="6" t="n">
        <x:v>1166</x:v>
      </x:c>
      <x:c r="K21" s="5" t="str">
        <x:v>Stock Momentum Portfolio Based on F.L.U.I.D Framework Momentum+ Strat</x:v>
      </x:c>
      <x:c r="L21" s="5" t="str">
        <x:v>No sector tags assigned; see description</x:v>
      </x:c>
      <x:c r="M21" s="7" t="d">
        <x:v>2026-10-22T00:00:00.000Z</x:v>
      </x:c>
      <x:c r="N21" s="8" t="str">
        <x:v>https://www.smallcase.com/smallcase/f.l.u.i.d-q-quant-SKUPAQM_0001</x:v>
      </x:c>
      <x:c r="O21" s="4" t="str">
        <x:v>SKUPAQM_0001</x:v>
      </x:c>
      <x:c r="P21" s="5" t="str">
        <x:v>Diversified; sector mandate not specified</x:v>
      </x:c>
    </x:row>
    <x:row r="22" ht="60" customHeight="1">
      <x:c r="A22" s="4" t="n">
        <x:v>17</x:v>
      </x:c>
      <x:c r="B22" s="5" t="str">
        <x:v>Sprint Diversified Stocks Portfolio Quant</x:v>
      </x:c>
      <x:c r="C22" s="5" t="str">
        <x:v>SmartWealth.ai</x:v>
      </x:c>
      <x:c r="D22" s="5" t="str">
        <x:v>Asset allocation / target date</x:v>
      </x:c>
      <x:c r="E22" s="5" t="str">
        <x:v>No specific industry mandate identified</x:v>
      </x:c>
      <x:c r="F22" s="5" t="str">
        <x:v>Asset allocation</x:v>
      </x:c>
      <x:c r="G22" s="6" t="n">
        <x:v>10485</x:v>
      </x:c>
      <x:c r="H22" s="4" t="str">
        <x:v>High</x:v>
      </x:c>
      <x:c r="I22" s="4" t="str">
        <x:v>Fee based</x:v>
      </x:c>
      <x:c r="J22" s="6" t="n">
        <x:v>1130</x:v>
      </x:c>
      <x:c r="K22" s="5" t="str">
        <x:v>Broad Momentum Stocks &amp; Dynamic Gold Hedge – Invest Up to ₹25 Lacs</x:v>
      </x:c>
      <x:c r="L22" s="5" t="str">
        <x:v>No sector tags assigned; see description</x:v>
      </x:c>
      <x:c r="M22" s="7" t="d">
        <x:v>2026-10-22T00:00:00.000Z</x:v>
      </x:c>
      <x:c r="N22" s="8" t="str">
        <x:v>https://www.smallcase.com/smallcase/sprint-10-daily-sprint-np10.d-SMWAMO_0004</x:v>
      </x:c>
      <x:c r="O22" s="4" t="str">
        <x:v>SMWAMO_0004</x:v>
      </x:c>
      <x:c r="P22" s="5" t="str">
        <x:v>Asset allocation / target date</x:v>
      </x:c>
    </x:row>
    <x:row r="23" ht="60" customHeight="1">
      <x:c r="A23" s="4" t="n">
        <x:v>18</x:v>
      </x:c>
      <x:c r="B23" s="5" t="str">
        <x:v>Top 250 Stocks - Quant Tracker</x:v>
      </x:c>
      <x:c r="C23" s="5" t="str">
        <x:v>Windmill Capital</x:v>
      </x:c>
      <x:c r="D23" s="5" t="str">
        <x:v>Diversified / strategy</x:v>
      </x:c>
      <x:c r="E23" s="5" t="str">
        <x:v>No specific industry mandate identified</x:v>
      </x:c>
      <x:c r="F23" s="5" t="str">
        <x:v>Quant / factor</x:v>
      </x:c>
      <x:c r="G23" s="6" t="n">
        <x:v>1941</x:v>
      </x:c>
      <x:c r="H23" s="4" t="str">
        <x:v>Medium</x:v>
      </x:c>
      <x:c r="I23" s="4" t="str">
        <x:v>Free access</x:v>
      </x:c>
      <x:c r="J23" s="6"/>
      <x:c r="K23" s="5" t="str">
        <x:v>Stability of large caps combined with growth potential of mid caps</x:v>
      </x:c>
      <x:c r="L23" s="5" t="str">
        <x:v>No sector tags assigned; see description</x:v>
      </x:c>
      <x:c r="M23" s="7" t="d">
        <x:v>2026-10-05T00:00:00.000Z</x:v>
      </x:c>
      <x:c r="N23" s="8" t="str">
        <x:v>https://www.smallcase.com/smallcase/top-250-stocks-SCET_0015</x:v>
      </x:c>
      <x:c r="O23" s="4" t="str">
        <x:v>SCET_0015</x:v>
      </x:c>
      <x:c r="P23" s="5" t="str">
        <x:v>Diversified; sector mandate not specified</x:v>
      </x:c>
    </x:row>
    <x:row r="24" ht="60" customHeight="1">
      <x:c r="A24" s="4" t="n">
        <x:v>19</x:v>
      </x:c>
      <x:c r="B24" s="5" t="str">
        <x:v>21G Ace Momentum Model</x:v>
      </x:c>
      <x:c r="C24" s="5" t="str">
        <x:v>21G Investments</x:v>
      </x:c>
      <x:c r="D24" s="5" t="str">
        <x:v>Diversified / strategy</x:v>
      </x:c>
      <x:c r="E24" s="5" t="str">
        <x:v>No specific industry mandate identified</x:v>
      </x:c>
      <x:c r="F24" s="5" t="str">
        <x:v>Momentum / trend</x:v>
      </x:c>
      <x:c r="G24" s="6" t="n">
        <x:v>11228</x:v>
      </x:c>
      <x:c r="H24" s="4" t="str">
        <x:v>High</x:v>
      </x:c>
      <x:c r="I24" s="4" t="str">
        <x:v>Fee based</x:v>
      </x:c>
      <x:c r="J24" s="6" t="n">
        <x:v>499</x:v>
      </x:c>
      <x:c r="K24" s="5" t="str">
        <x:v>Fast-moving stocks, filtered by strict momentum rules.</x:v>
      </x:c>
      <x:c r="L24" s="5" t="str">
        <x:v>No sector tags assigned; see description</x:v>
      </x:c>
      <x:c r="M24" s="7" t="d">
        <x:v>2026-10-07T00:00:00.000Z</x:v>
      </x:c>
      <x:c r="N24" s="8" t="str">
        <x:v>https://www.smallcase.com/smallcase/21g-ace-momentum-TGIMO_0010</x:v>
      </x:c>
      <x:c r="O24" s="4" t="str">
        <x:v>TGIMO_0010</x:v>
      </x:c>
      <x:c r="P24" s="5" t="str">
        <x:v>Diversified; sector mandate not specified</x:v>
      </x:c>
    </x:row>
    <x:row r="25" ht="60" customHeight="1">
      <x:c r="A25" s="4" t="n">
        <x:v>20</x:v>
      </x:c>
      <x:c r="B25" s="5" t="str">
        <x:v>Mi 20 Momentum Model</x:v>
      </x:c>
      <x:c r="C25" s="5" t="str">
        <x:v>Weekend Investing</x:v>
      </x:c>
      <x:c r="D25" s="5" t="str">
        <x:v>Diversified / strategy</x:v>
      </x:c>
      <x:c r="E25" s="5" t="str">
        <x:v>No specific industry mandate identified</x:v>
      </x:c>
      <x:c r="F25" s="5" t="str">
        <x:v>Momentum / trend</x:v>
      </x:c>
      <x:c r="G25" s="6" t="n">
        <x:v>82371</x:v>
      </x:c>
      <x:c r="H25" s="4" t="str">
        <x:v>High</x:v>
      </x:c>
      <x:c r="I25" s="4" t="str">
        <x:v>Fee based</x:v>
      </x:c>
      <x:c r="J25" s="6" t="n">
        <x:v>1249</x:v>
      </x:c>
      <x:c r="K25" s="5" t="str">
        <x:v>20 Strongest Momentum from MidSmallCap400 index stocks | Great Starter Strategy | Weekly rebalanced</x:v>
      </x:c>
      <x:c r="L25" s="5" t="str">
        <x:v>No sector tags assigned; see description</x:v>
      </x:c>
      <x:c r="M25" s="7" t="d">
        <x:v>2026-10-26T00:00:00.000Z</x:v>
      </x:c>
      <x:c r="N25" s="8" t="str">
        <x:v>https://www.smallcase.com/smallcase/mi20-WKIMO_0017</x:v>
      </x:c>
      <x:c r="O25" s="4" t="str">
        <x:v>WKIMO_0017</x:v>
      </x:c>
      <x:c r="P25" s="5" t="str">
        <x:v>Diversified; sector mandate not specified</x:v>
      </x:c>
    </x:row>
    <x:row r="26" ht="60" customHeight="1">
      <x:c r="A26" s="4" t="n">
        <x:v>21</x:v>
      </x:c>
      <x:c r="B26" s="5" t="str">
        <x:v>Global Opportunities Asset Allocation</x:v>
      </x:c>
      <x:c r="C26" s="5" t="str">
        <x:v>Windmill Capital</x:v>
      </x:c>
      <x:c r="D26" s="5" t="str">
        <x:v>Asset allocation / target date</x:v>
      </x:c>
      <x:c r="E26" s="5" t="str">
        <x:v>No specific industry mandate identified</x:v>
      </x:c>
      <x:c r="F26" s="5" t="str">
        <x:v>Asset allocation</x:v>
      </x:c>
      <x:c r="G26" s="6" t="n">
        <x:v>2966</x:v>
      </x:c>
      <x:c r="H26" s="4" t="str">
        <x:v>Medium</x:v>
      </x:c>
      <x:c r="I26" s="4" t="str">
        <x:v>Free access</x:v>
      </x:c>
      <x:c r="J26" s="6"/>
      <x:c r="K26" s="5" t="str">
        <x:v>Invest in global tech leaders along with largest Indian companies</x:v>
      </x:c>
      <x:c r="L26" s="5" t="str">
        <x:v>No sector tags assigned; see description</x:v>
      </x:c>
      <x:c r="M26" s="7" t="d">
        <x:v>2026-10-05T00:00:00.000Z</x:v>
      </x:c>
      <x:c r="N26" s="8" t="str">
        <x:v>https://www.smallcase.com/smallcase/global-opportunities-SCET_0014</x:v>
      </x:c>
      <x:c r="O26" s="4" t="str">
        <x:v>SCET_0014</x:v>
      </x:c>
      <x:c r="P26" s="5" t="str">
        <x:v>Asset allocation / target date</x:v>
      </x:c>
    </x:row>
    <x:row r="27" ht="60" customHeight="1">
      <x:c r="A27" s="4" t="n">
        <x:v>22</x:v>
      </x:c>
      <x:c r="B27" s="5" t="str">
        <x:v>Equity &amp; Debt Asset Allocation</x:v>
      </x:c>
      <x:c r="C27" s="5" t="str">
        <x:v>Windmill Capital</x:v>
      </x:c>
      <x:c r="D27" s="5" t="str">
        <x:v>Asset allocation / target date</x:v>
      </x:c>
      <x:c r="E27" s="5" t="str">
        <x:v>No specific industry mandate identified</x:v>
      </x:c>
      <x:c r="F27" s="5" t="str">
        <x:v>Asset allocation</x:v>
      </x:c>
      <x:c r="G27" s="6" t="n">
        <x:v>4346</x:v>
      </x:c>
      <x:c r="H27" s="4" t="str">
        <x:v>Low</x:v>
      </x:c>
      <x:c r="I27" s="4" t="str">
        <x:v>Free access</x:v>
      </x:c>
      <x:c r="J27" s="6"/>
      <x:c r="K27" s="5" t="str">
        <x:v>A unique 2-in-1 portfolio of equity &amp; debt suitable for low risk wealth creation</x:v>
      </x:c>
      <x:c r="L27" s="5" t="str">
        <x:v>No sector tags assigned; see description</x:v>
      </x:c>
      <x:c r="M27" s="7" t="d">
        <x:v>2026-10-05T00:00:00.000Z</x:v>
      </x:c>
      <x:c r="N27" s="8" t="str">
        <x:v>https://www.smallcase.com/smallcase/equity-and-debt-SCET_0013</x:v>
      </x:c>
      <x:c r="O27" s="4" t="str">
        <x:v>SCET_0013</x:v>
      </x:c>
      <x:c r="P27" s="5" t="str">
        <x:v>Asset allocation / target date</x:v>
      </x:c>
    </x:row>
    <x:row r="28" ht="60" customHeight="1">
      <x:c r="A28" s="4" t="n">
        <x:v>23</x:v>
      </x:c>
      <x:c r="B28" s="5" t="str">
        <x:v>Metal Tracker</x:v>
      </x:c>
      <x:c r="C28" s="5" t="str">
        <x:v>Windmill Capital</x:v>
      </x:c>
      <x:c r="D28" s="5" t="str">
        <x:v>Sector / industry theme</x:v>
      </x:c>
      <x:c r="E28" s="5" t="str">
        <x:v>Metals, mining &amp; minerals</x:v>
      </x:c>
      <x:c r="F28" s="5" t="str">
        <x:v>Other / not specified</x:v>
      </x:c>
      <x:c r="G28" s="6" t="n">
        <x:v>24035</x:v>
      </x:c>
      <x:c r="H28" s="4" t="str">
        <x:v>High</x:v>
      </x:c>
      <x:c r="I28" s="4" t="str">
        <x:v>Free access</x:v>
      </x:c>
      <x:c r="J28" s="6"/>
      <x:c r="K28" s="5" t="str">
        <x:v>Companies to efficiently track and invest in the Metals and Mining sector</x:v>
      </x:c>
      <x:c r="L28" s="5" t="str">
        <x:v>Title and listing description</x:v>
      </x:c>
      <x:c r="M28" s="7" t="d">
        <x:v>2026-09-17T00:00:00.000Z</x:v>
      </x:c>
      <x:c r="N28" s="8" t="str">
        <x:v>https://www.smallcase.com/smallcase/metal-tracker-SCTR_0008</x:v>
      </x:c>
      <x:c r="O28" s="4" t="str">
        <x:v>SCTR_0008</x:v>
      </x:c>
      <x:c r="P28" s="5" t="str"/>
    </x:row>
    <x:row r="29" ht="60" customHeight="1">
      <x:c r="A29" s="4" t="n">
        <x:v>24</x:v>
      </x:c>
      <x:c r="B29" s="5" t="str">
        <x:v>Capital Markets Tracker</x:v>
      </x:c>
      <x:c r="C29" s="5" t="str">
        <x:v>Windmill Capital</x:v>
      </x:c>
      <x:c r="D29" s="5" t="str">
        <x:v>Sector / industry theme</x:v>
      </x:c>
      <x:c r="E29" s="5" t="str">
        <x:v>Capital markets &amp; wealth management</x:v>
      </x:c>
      <x:c r="F29" s="5" t="str">
        <x:v>Fundamental / growth / quality</x:v>
      </x:c>
      <x:c r="G29" s="6" t="n">
        <x:v>55034</x:v>
      </x:c>
      <x:c r="H29" s="4" t="str">
        <x:v>High</x:v>
      </x:c>
      <x:c r="I29" s="4" t="str">
        <x:v>Free access</x:v>
      </x:c>
      <x:c r="J29" s="6"/>
      <x:c r="K29" s="5" t="str">
        <x:v>Companies benefiting from India’s secular growth in wealth and financialization of savings</x:v>
      </x:c>
      <x:c r="L29" s="5" t="str">
        <x:v>Title and listing description</x:v>
      </x:c>
      <x:c r="M29" s="7" t="d">
        <x:v>2026-09-17T00:00:00.000Z</x:v>
      </x:c>
      <x:c r="N29" s="8" t="str">
        <x:v>https://www.smallcase.com/smallcase/capital-markets-tracker-SCTR_0018</x:v>
      </x:c>
      <x:c r="O29" s="4" t="str">
        <x:v>SCTR_0018</x:v>
      </x:c>
      <x:c r="P29" s="5" t="str"/>
    </x:row>
    <x:row r="30" ht="60" customHeight="1">
      <x:c r="A30" s="4" t="n">
        <x:v>25</x:v>
      </x:c>
      <x:c r="B30" s="5" t="str">
        <x:v>Quality Bluechips - Quant</x:v>
      </x:c>
      <x:c r="C30" s="5" t="str">
        <x:v>Windmill Capital</x:v>
      </x:c>
      <x:c r="D30" s="5" t="str">
        <x:v>Diversified / strategy</x:v>
      </x:c>
      <x:c r="E30" s="5" t="str">
        <x:v>No specific industry mandate identified</x:v>
      </x:c>
      <x:c r="F30" s="5" t="str">
        <x:v>Quant / factor</x:v>
      </x:c>
      <x:c r="G30" s="6" t="n">
        <x:v>75000</x:v>
      </x:c>
      <x:c r="H30" s="4" t="str">
        <x:v>High</x:v>
      </x:c>
      <x:c r="I30" s="4" t="str">
        <x:v>Fee based</x:v>
      </x:c>
      <x:c r="J30" s="6" t="n">
        <x:v>716</x:v>
      </x:c>
      <x:c r="K30" s="5" t="str">
        <x:v>High-quality bluechip stocks with strong price trends</x:v>
      </x:c>
      <x:c r="L30" s="5" t="str">
        <x:v>No sector tags assigned; see description</x:v>
      </x:c>
      <x:c r="M30" s="7" t="d">
        <x:v>2026-10-06T00:00:00.000Z</x:v>
      </x:c>
      <x:c r="N30" s="8" t="str">
        <x:v>https://www.smallcase.com/smallcase/quality-bluechips-quant-SCQM_0001</x:v>
      </x:c>
      <x:c r="O30" s="4" t="str">
        <x:v>SCQM_0001</x:v>
      </x:c>
      <x:c r="P30" s="5" t="str">
        <x:v>Diversified; sector mandate not specified</x:v>
      </x:c>
    </x:row>
    <x:row r="31" ht="60" customHeight="1">
      <x:c r="A31" s="4" t="n">
        <x:v>26</x:v>
      </x:c>
      <x:c r="B31" s="5" t="str">
        <x:v>GEM-Q Model</x:v>
      </x:c>
      <x:c r="C31" s="5" t="str">
        <x:v>Windmill Capital</x:v>
      </x:c>
      <x:c r="D31" s="5" t="str">
        <x:v>Diversified / strategy</x:v>
      </x:c>
      <x:c r="E31" s="5" t="str">
        <x:v>No specific industry mandate identified</x:v>
      </x:c>
      <x:c r="F31" s="5" t="str">
        <x:v>Momentum / trend</x:v>
      </x:c>
      <x:c r="G31" s="6" t="n">
        <x:v>57097</x:v>
      </x:c>
      <x:c r="H31" s="4" t="str">
        <x:v>High</x:v>
      </x:c>
      <x:c r="I31" s="4" t="str">
        <x:v>Fee based</x:v>
      </x:c>
      <x:c r="J31" s="6" t="n">
        <x:v>1000</x:v>
      </x:c>
      <x:c r="K31" s="5" t="str">
        <x:v>Efficiently managed growing companies experiencing positive momentum</x:v>
      </x:c>
      <x:c r="L31" s="5" t="str">
        <x:v>No sector tags assigned; see description</x:v>
      </x:c>
      <x:c r="M31" s="7" t="d">
        <x:v>2026-09-16T00:00:00.000Z</x:v>
      </x:c>
      <x:c r="N31" s="8" t="str">
        <x:v>https://www.smallcase.com/smallcase/gem-q-model-SCMO_0029</x:v>
      </x:c>
      <x:c r="O31" s="4" t="str">
        <x:v>SCMO_0029</x:v>
      </x:c>
      <x:c r="P31" s="5" t="str">
        <x:v>Diversified; sector mandate not specified</x:v>
      </x:c>
    </x:row>
    <x:row r="32" ht="60" customHeight="1">
      <x:c r="A32" s="4" t="n">
        <x:v>27</x:v>
      </x:c>
      <x:c r="B32" s="5" t="str">
        <x:v>Electric Mobility Theme</x:v>
      </x:c>
      <x:c r="C32" s="5" t="str">
        <x:v>Windmill Capital</x:v>
      </x:c>
      <x:c r="D32" s="5" t="str">
        <x:v>Sector / industry theme</x:v>
      </x:c>
      <x:c r="E32" s="5" t="str">
        <x:v>Automobiles, EVs &amp; components</x:v>
      </x:c>
      <x:c r="F32" s="5" t="str">
        <x:v>Other / not specified</x:v>
      </x:c>
      <x:c r="G32" s="6" t="n">
        <x:v>82079</x:v>
      </x:c>
      <x:c r="H32" s="4" t="str">
        <x:v>High</x:v>
      </x:c>
      <x:c r="I32" s="4" t="str">
        <x:v>Free access</x:v>
      </x:c>
      <x:c r="J32" s="6"/>
      <x:c r="K32" s="5" t="str">
        <x:v>Companies driving India's transition to electric vehicles. Transport's new era</x:v>
      </x:c>
      <x:c r="L32" s="5" t="str">
        <x:v>Title and listing description</x:v>
      </x:c>
      <x:c r="M32" s="7" t="d">
        <x:v>2026-09-17T00:00:00.000Z</x:v>
      </x:c>
      <x:c r="N32" s="8" t="str">
        <x:v>https://www.smallcase.com/smallcase/electric-mobility-SCNM_0025</x:v>
      </x:c>
      <x:c r="O32" s="4" t="str">
        <x:v>SCNM_0025</x:v>
      </x:c>
      <x:c r="P32" s="5" t="str"/>
    </x:row>
    <x:row r="33" ht="60" customHeight="1">
      <x:c r="A33" s="4" t="n">
        <x:v>28</x:v>
      </x:c>
      <x:c r="B33" s="5" t="str">
        <x:v>Quality Smallcap Quant</x:v>
      </x:c>
      <x:c r="C33" s="5" t="str">
        <x:v>Windmill Capital</x:v>
      </x:c>
      <x:c r="D33" s="5" t="str">
        <x:v>Diversified / strategy</x:v>
      </x:c>
      <x:c r="E33" s="5" t="str">
        <x:v>No specific industry mandate identified</x:v>
      </x:c>
      <x:c r="F33" s="5" t="str">
        <x:v>Momentum / trend</x:v>
      </x:c>
      <x:c r="G33" s="6" t="n">
        <x:v>21908</x:v>
      </x:c>
      <x:c r="H33" s="4" t="str">
        <x:v>High</x:v>
      </x:c>
      <x:c r="I33" s="4" t="str">
        <x:v>Fee based</x:v>
      </x:c>
      <x:c r="J33" s="6" t="n">
        <x:v>1000</x:v>
      </x:c>
      <x:c r="K33" s="5" t="str">
        <x:v>Quality smallcap stocks with positive momentum trends</x:v>
      </x:c>
      <x:c r="L33" s="5" t="str">
        <x:v>No sector tags assigned; see description</x:v>
      </x:c>
      <x:c r="M33" s="7" t="d">
        <x:v>2026-10-06T00:00:00.000Z</x:v>
      </x:c>
      <x:c r="N33" s="8" t="str">
        <x:v>https://www.smallcase.com/smallcase/quality-smallcap-smart-beta-SCMO_0041</x:v>
      </x:c>
      <x:c r="O33" s="4" t="str">
        <x:v>SCMO_0041</x:v>
      </x:c>
      <x:c r="P33" s="5" t="str">
        <x:v>Diversified; sector mandate not specified</x:v>
      </x:c>
    </x:row>
    <x:row r="34" ht="60" customHeight="1">
      <x:c r="A34" s="4" t="n">
        <x:v>29</x:v>
      </x:c>
      <x:c r="B34" s="5" t="str">
        <x:v>Momentum Chasers Model</x:v>
      </x:c>
      <x:c r="C34" s="5" t="str">
        <x:v>Mirae Asset</x:v>
      </x:c>
      <x:c r="D34" s="5" t="str">
        <x:v>Diversified / strategy</x:v>
      </x:c>
      <x:c r="E34" s="5" t="str">
        <x:v>No specific industry mandate identified</x:v>
      </x:c>
      <x:c r="F34" s="5" t="str">
        <x:v>Momentum / trend</x:v>
      </x:c>
      <x:c r="G34" s="6" t="n">
        <x:v>111</x:v>
      </x:c>
      <x:c r="H34" s="4" t="str">
        <x:v>Medium</x:v>
      </x:c>
      <x:c r="I34" s="4" t="str">
        <x:v>Free access</x:v>
      </x:c>
      <x:c r="J34" s="6"/>
      <x:c r="K34" s="5" t="str">
        <x:v>Data-Driven. Trend-Focused. Disciplined</x:v>
      </x:c>
      <x:c r="L34" s="5" t="str">
        <x:v>No sector tags assigned; see description</x:v>
      </x:c>
      <x:c r="M34" s="7" t="d">
        <x:v>2026-10-12T00:00:00.000Z</x:v>
      </x:c>
      <x:c r="N34" s="8" t="str">
        <x:v>https://www.smallcase.com/smallcase/momentum-chasers-model-MIMOMX_0004</x:v>
      </x:c>
      <x:c r="O34" s="4" t="str">
        <x:v>MIMOMX_0004</x:v>
      </x:c>
      <x:c r="P34" s="5" t="str">
        <x:v>Diversified; sector mandate not specified</x:v>
      </x:c>
    </x:row>
    <x:row r="35" ht="60" customHeight="1">
      <x:c r="A35" s="4" t="n">
        <x:v>30</x:v>
      </x:c>
      <x:c r="B35" s="5" t="str">
        <x:v>Dividend Aristocrats Model</x:v>
      </x:c>
      <x:c r="C35" s="5" t="str">
        <x:v>Windmill Capital</x:v>
      </x:c>
      <x:c r="D35" s="5" t="str">
        <x:v>Diversified / strategy</x:v>
      </x:c>
      <x:c r="E35" s="5" t="str">
        <x:v>No specific industry mandate identified</x:v>
      </x:c>
      <x:c r="F35" s="5" t="str">
        <x:v>Dividend / income</x:v>
      </x:c>
      <x:c r="G35" s="6" t="n">
        <x:v>43675</x:v>
      </x:c>
      <x:c r="H35" s="4" t="str">
        <x:v>Medium</x:v>
      </x:c>
      <x:c r="I35" s="4" t="str">
        <x:v>Free access</x:v>
      </x:c>
      <x:c r="J35" s="6"/>
      <x:c r="K35" s="5" t="str">
        <x:v>Companies that have been consistently increasing dividends. Extra goodness</x:v>
      </x:c>
      <x:c r="L35" s="5" t="str">
        <x:v>No sector tags assigned; see description</x:v>
      </x:c>
      <x:c r="M35" s="7" t="d">
        <x:v>2026-07-08T00:00:00.000Z</x:v>
      </x:c>
      <x:c r="N35" s="8" t="str">
        <x:v>https://www.smallcase.com/smallcase/dividend-aristocrats-SCMO_0014</x:v>
      </x:c>
      <x:c r="O35" s="4" t="str">
        <x:v>SCMO_0014</x:v>
      </x:c>
      <x:c r="P35" s="5" t="str">
        <x:v>Diversified; sector mandate not specified</x:v>
      </x:c>
    </x:row>
    <x:row r="36" ht="60" customHeight="1">
      <x:c r="A36" s="4" t="n">
        <x:v>31</x:v>
      </x:c>
      <x:c r="B36" s="5" t="str">
        <x:v>3-in-1 Multi Asset Allocation</x:v>
      </x:c>
      <x:c r="C36" s="5" t="str">
        <x:v>Zerodha Fund House</x:v>
      </x:c>
      <x:c r="D36" s="5" t="str">
        <x:v>Asset allocation / target date</x:v>
      </x:c>
      <x:c r="E36" s="5" t="str">
        <x:v>No specific industry mandate identified</x:v>
      </x:c>
      <x:c r="F36" s="5" t="str">
        <x:v>Asset allocation</x:v>
      </x:c>
      <x:c r="G36" s="6" t="n">
        <x:v>197</x:v>
      </x:c>
      <x:c r="H36" s="4" t="str">
        <x:v>Medium</x:v>
      </x:c>
      <x:c r="I36" s="4" t="str">
        <x:v>Free access</x:v>
      </x:c>
      <x:c r="J36" s="6"/>
      <x:c r="K36" s="5" t="str">
        <x:v>Equity, Gold and Debt: A balanced portfolio to grow, balance and protect your wealth</x:v>
      </x:c>
      <x:c r="L36" s="5" t="str">
        <x:v>No sector tags assigned; see description</x:v>
      </x:c>
      <x:c r="M36" s="7" t="d">
        <x:v>2026-10-01T00:00:00.000Z</x:v>
      </x:c>
      <x:c r="N36" s="8" t="str">
        <x:v>https://www.smallcase.com/smallcase/3-in-1-multi-asset-allocation-ZEFHAA_0001</x:v>
      </x:c>
      <x:c r="O36" s="4" t="str">
        <x:v>ZEFHAA_0001</x:v>
      </x:c>
      <x:c r="P36" s="5" t="str">
        <x:v>Asset allocation / target date</x:v>
      </x:c>
    </x:row>
    <x:row r="37" ht="60" customHeight="1">
      <x:c r="A37" s="4" t="n">
        <x:v>32</x:v>
      </x:c>
      <x:c r="B37" s="5" t="str">
        <x:v>Gold &amp; Debt Asset Allocation</x:v>
      </x:c>
      <x:c r="C37" s="5" t="str">
        <x:v>Zerodha Fund House</x:v>
      </x:c>
      <x:c r="D37" s="5" t="str">
        <x:v>Asset allocation / target date</x:v>
      </x:c>
      <x:c r="E37" s="5" t="str">
        <x:v>No specific industry mandate identified</x:v>
      </x:c>
      <x:c r="F37" s="5" t="str">
        <x:v>Asset allocation</x:v>
      </x:c>
      <x:c r="G37" s="6" t="n">
        <x:v>96</x:v>
      </x:c>
      <x:c r="H37" s="4" t="str">
        <x:v>High</x:v>
      </x:c>
      <x:c r="I37" s="4" t="str">
        <x:v>Free access</x:v>
      </x:c>
      <x:c r="J37" s="6"/>
      <x:c r="K37" s="5" t="str">
        <x:v>Gold and Debt: A duo to hedge your portfolio</x:v>
      </x:c>
      <x:c r="L37" s="5" t="str">
        <x:v>No sector tags assigned; see description</x:v>
      </x:c>
      <x:c r="M37" s="7" t="d">
        <x:v>2026-10-01T00:00:00.000Z</x:v>
      </x:c>
      <x:c r="N37" s="8" t="str">
        <x:v>https://www.smallcase.com/smallcase/gold-and-debt-asset-allocation-ZEFHAA_0002</x:v>
      </x:c>
      <x:c r="O37" s="4" t="str">
        <x:v>ZEFHAA_0002</x:v>
      </x:c>
      <x:c r="P37" s="5" t="str">
        <x:v>Asset allocation / target date</x:v>
      </x:c>
    </x:row>
    <x:row r="38" ht="60" customHeight="1">
      <x:c r="A38" s="4" t="n">
        <x:v>33</x:v>
      </x:c>
      <x:c r="B38" s="5" t="str">
        <x:v>Energy Tracker</x:v>
      </x:c>
      <x:c r="C38" s="5" t="str">
        <x:v>Windmill Capital</x:v>
      </x:c>
      <x:c r="D38" s="5" t="str">
        <x:v>Sector / industry theme</x:v>
      </x:c>
      <x:c r="E38" s="5" t="str">
        <x:v>Power, utilities &amp; energy</x:v>
      </x:c>
      <x:c r="F38" s="5" t="str">
        <x:v>Other / not specified</x:v>
      </x:c>
      <x:c r="G38" s="6" t="n">
        <x:v>12167</x:v>
      </x:c>
      <x:c r="H38" s="4" t="str">
        <x:v>High</x:v>
      </x:c>
      <x:c r="I38" s="4" t="str">
        <x:v>Free access</x:v>
      </x:c>
      <x:c r="J38" s="6"/>
      <x:c r="K38" s="5" t="str">
        <x:v>Companies to efficiently track and invest in the energy sector</x:v>
      </x:c>
      <x:c r="L38" s="5" t="str">
        <x:v>Title and listing description</x:v>
      </x:c>
      <x:c r="M38" s="7" t="d">
        <x:v>2026-09-17T00:00:00.000Z</x:v>
      </x:c>
      <x:c r="N38" s="8" t="str">
        <x:v>https://www.smallcase.com/smallcase/energy-tracker-SCTR_0003</x:v>
      </x:c>
      <x:c r="O38" s="4" t="str">
        <x:v>SCTR_0003</x:v>
      </x:c>
      <x:c r="P38" s="5" t="str"/>
    </x:row>
    <x:row r="39" ht="60" customHeight="1">
      <x:c r="A39" s="4" t="n">
        <x:v>34</x:v>
      </x:c>
      <x:c r="B39" s="5" t="str">
        <x:v>Growth &amp; Income Model</x:v>
      </x:c>
      <x:c r="C39" s="5" t="str">
        <x:v>Windmill Capital</x:v>
      </x:c>
      <x:c r="D39" s="5" t="str">
        <x:v>Diversified / strategy</x:v>
      </x:c>
      <x:c r="E39" s="5" t="str">
        <x:v>No specific industry mandate identified</x:v>
      </x:c>
      <x:c r="F39" s="5" t="str">
        <x:v>Dividend / income</x:v>
      </x:c>
      <x:c r="G39" s="6" t="n">
        <x:v>39522</x:v>
      </x:c>
      <x:c r="H39" s="4" t="str">
        <x:v>High</x:v>
      </x:c>
      <x:c r="I39" s="4" t="str">
        <x:v>Free access</x:v>
      </x:c>
      <x:c r="J39" s="6"/>
      <x:c r="K39" s="5" t="str">
        <x:v>Efficiently managed dividend paying companies at attractive valuations</x:v>
      </x:c>
      <x:c r="L39" s="5" t="str">
        <x:v>No sector tags assigned; see description</x:v>
      </x:c>
      <x:c r="M39" s="7" t="d">
        <x:v>2026-09-15T00:00:00.000Z</x:v>
      </x:c>
      <x:c r="N39" s="8" t="str">
        <x:v>https://www.smallcase.com/smallcase/growth-and-income-SCMO_0026</x:v>
      </x:c>
      <x:c r="O39" s="4" t="str">
        <x:v>SCMO_0026</x:v>
      </x:c>
      <x:c r="P39" s="5" t="str">
        <x:v>Diversified; sector mandate not specified</x:v>
      </x:c>
    </x:row>
    <x:row r="40" ht="60" customHeight="1">
      <x:c r="A40" s="4" t="n">
        <x:v>35</x:v>
      </x:c>
      <x:c r="B40" s="5" t="str">
        <x:v>Large &amp; Midcap Tracker</x:v>
      </x:c>
      <x:c r="C40" s="5" t="str">
        <x:v>Zerodha Fund House</x:v>
      </x:c>
      <x:c r="D40" s="5" t="str">
        <x:v>Diversified / strategy</x:v>
      </x:c>
      <x:c r="E40" s="5" t="str">
        <x:v>No specific industry mandate identified</x:v>
      </x:c>
      <x:c r="F40" s="5" t="str">
        <x:v>Fundamental / growth / quality</x:v>
      </x:c>
      <x:c r="G40" s="6" t="n">
        <x:v>30</x:v>
      </x:c>
      <x:c r="H40" s="4" t="str">
        <x:v>Medium</x:v>
      </x:c>
      <x:c r="I40" s="4" t="str">
        <x:v>Free access</x:v>
      </x:c>
      <x:c r="J40" s="6"/>
      <x:c r="K40" s="5" t="str">
        <x:v>Large and Midcap: A mix of established leaders &amp; companies with growth potential</x:v>
      </x:c>
      <x:c r="L40" s="5" t="str">
        <x:v>No sector tags assigned; see description</x:v>
      </x:c>
      <x:c r="M40" s="7" t="d">
        <x:v>2026-10-01T00:00:00.000Z</x:v>
      </x:c>
      <x:c r="N40" s="8" t="str">
        <x:v>https://www.smallcase.com/smallcase/large-and-midcap-tracker-ZEFHTR_0001</x:v>
      </x:c>
      <x:c r="O40" s="4" t="str">
        <x:v>ZEFHTR_0001</x:v>
      </x:c>
      <x:c r="P40" s="5" t="str">
        <x:v>Diversified; sector mandate not specified</x:v>
      </x:c>
    </x:row>
    <x:row r="41" ht="60" customHeight="1">
      <x:c r="A41" s="4" t="n">
        <x:v>36</x:v>
      </x:c>
      <x:c r="B41" s="5" t="str">
        <x:v>Banking Tracker</x:v>
      </x:c>
      <x:c r="C41" s="5" t="str">
        <x:v>Windmill Capital</x:v>
      </x:c>
      <x:c r="D41" s="5" t="str">
        <x:v>Sector / industry theme</x:v>
      </x:c>
      <x:c r="E41" s="5" t="str">
        <x:v>Banks &amp; NBFCs</x:v>
      </x:c>
      <x:c r="F41" s="5" t="str">
        <x:v>Other / not specified</x:v>
      </x:c>
      <x:c r="G41" s="6" t="n">
        <x:v>11988</x:v>
      </x:c>
      <x:c r="H41" s="4" t="str">
        <x:v>High</x:v>
      </x:c>
      <x:c r="I41" s="4" t="str">
        <x:v>Free access</x:v>
      </x:c>
      <x:c r="J41" s="6"/>
      <x:c r="K41" s="5" t="str">
        <x:v>Companies to efficiently track and invest in the banking sector</x:v>
      </x:c>
      <x:c r="L41" s="5" t="str">
        <x:v>Title and listing description</x:v>
      </x:c>
      <x:c r="M41" s="7" t="d">
        <x:v>2026-09-17T00:00:00.000Z</x:v>
      </x:c>
      <x:c r="N41" s="8" t="str">
        <x:v>https://www.smallcase.com/smallcase/banking-tracker-SCTR_0002</x:v>
      </x:c>
      <x:c r="O41" s="4" t="str">
        <x:v>SCTR_0002</x:v>
      </x:c>
      <x:c r="P41" s="5" t="str"/>
    </x:row>
    <x:row r="42" ht="60" customHeight="1">
      <x:c r="A42" s="4" t="n">
        <x:v>37</x:v>
      </x:c>
      <x:c r="B42" s="5" t="str">
        <x:v>Pharma Tracker</x:v>
      </x:c>
      <x:c r="C42" s="5" t="str">
        <x:v>Windmill Capital</x:v>
      </x:c>
      <x:c r="D42" s="5" t="str">
        <x:v>Sector / industry theme</x:v>
      </x:c>
      <x:c r="E42" s="5" t="str">
        <x:v>Pharma &amp; healthcare</x:v>
      </x:c>
      <x:c r="F42" s="5" t="str">
        <x:v>Other / not specified</x:v>
      </x:c>
      <x:c r="G42" s="6" t="n">
        <x:v>41239</x:v>
      </x:c>
      <x:c r="H42" s="4" t="str">
        <x:v>Medium</x:v>
      </x:c>
      <x:c r="I42" s="4" t="str">
        <x:v>Free access</x:v>
      </x:c>
      <x:c r="J42" s="6"/>
      <x:c r="K42" s="5" t="str">
        <x:v>Companies to efficiently track and invest in the pharma sector</x:v>
      </x:c>
      <x:c r="L42" s="5" t="str">
        <x:v>Title and listing description</x:v>
      </x:c>
      <x:c r="M42" s="7" t="d">
        <x:v>2026-09-17T00:00:00.000Z</x:v>
      </x:c>
      <x:c r="N42" s="8" t="str">
        <x:v>https://www.smallcase.com/smallcase/pharma-tracker-SCTR_0009</x:v>
      </x:c>
      <x:c r="O42" s="4" t="str">
        <x:v>SCTR_0009</x:v>
      </x:c>
      <x:c r="P42" s="5" t="str"/>
    </x:row>
    <x:row r="43" ht="60" customHeight="1">
      <x:c r="A43" s="4" t="n">
        <x:v>38</x:v>
      </x:c>
      <x:c r="B43" s="5" t="str">
        <x:v>Gulaq Gear 6 Quant</x:v>
      </x:c>
      <x:c r="C43" s="5" t="str">
        <x:v>Estee</x:v>
      </x:c>
      <x:c r="D43" s="5" t="str">
        <x:v>Diversified / strategy</x:v>
      </x:c>
      <x:c r="E43" s="5" t="str">
        <x:v>No specific industry mandate identified</x:v>
      </x:c>
      <x:c r="F43" s="5" t="str">
        <x:v>Quant / factor</x:v>
      </x:c>
      <x:c r="G43" s="6" t="n">
        <x:v>24000</x:v>
      </x:c>
      <x:c r="H43" s="4" t="str">
        <x:v>High</x:v>
      </x:c>
      <x:c r="I43" s="4" t="str">
        <x:v>Fee based</x:v>
      </x:c>
      <x:c r="J43" s="6" t="n">
        <x:v>491</x:v>
      </x:c>
      <x:c r="K43" s="5" t="str">
        <x:v>Growth oriented concentrated portfolio for Aggressive investors (100% Equity)</x:v>
      </x:c>
      <x:c r="L43" s="5" t="str">
        <x:v>No sector tags assigned; see description</x:v>
      </x:c>
      <x:c r="M43" s="7" t="d">
        <x:v>2026-09-29T00:00:00.000Z</x:v>
      </x:c>
      <x:c r="N43" s="8" t="str">
        <x:v>https://www.smallcase.com/smallcase/estee-long-alpha-lite-(gear-4)-ESTMO_0001</x:v>
      </x:c>
      <x:c r="O43" s="4" t="str">
        <x:v>ESTMO_0001</x:v>
      </x:c>
      <x:c r="P43" s="5" t="str">
        <x:v>Diversified; sector mandate not specified</x:v>
      </x:c>
    </x:row>
    <x:row r="44" ht="60" customHeight="1">
      <x:c r="A44" s="4" t="n">
        <x:v>39</x:v>
      </x:c>
      <x:c r="B44" s="5" t="str">
        <x:v>Equity Multicap Tracker</x:v>
      </x:c>
      <x:c r="C44" s="5" t="str">
        <x:v>Zerodha Fund House</x:v>
      </x:c>
      <x:c r="D44" s="5" t="str">
        <x:v>Diversified / strategy</x:v>
      </x:c>
      <x:c r="E44" s="5" t="str">
        <x:v>No specific industry mandate identified</x:v>
      </x:c>
      <x:c r="F44" s="5" t="str">
        <x:v>Other / not specified</x:v>
      </x:c>
      <x:c r="G44" s="6" t="n">
        <x:v>31</x:v>
      </x:c>
      <x:c r="H44" s="4" t="str">
        <x:v>Medium</x:v>
      </x:c>
      <x:c r="I44" s="4" t="str">
        <x:v>Free access</x:v>
      </x:c>
      <x:c r="J44" s="6"/>
      <x:c r="K44" s="5" t="str">
        <x:v>Large, Mid and Small-cap: An all equity portfolio that tracks different segments of the stock market</x:v>
      </x:c>
      <x:c r="L44" s="5" t="str">
        <x:v>No sector tags assigned; see description</x:v>
      </x:c>
      <x:c r="M44" s="7" t="d">
        <x:v>2026-10-01T00:00:00.000Z</x:v>
      </x:c>
      <x:c r="N44" s="8" t="str">
        <x:v>https://www.smallcase.com/smallcase/equity-multicap-tracker-ZEFHTR_0003</x:v>
      </x:c>
      <x:c r="O44" s="4" t="str">
        <x:v>ZEFHTR_0003</x:v>
      </x:c>
      <x:c r="P44" s="5" t="str">
        <x:v>Diversified; sector mandate not specified</x:v>
      </x:c>
    </x:row>
    <x:row r="45" ht="60" customHeight="1">
      <x:c r="A45" s="4" t="n">
        <x:v>40</x:v>
      </x:c>
      <x:c r="B45" s="5" t="str">
        <x:v>Rising Rural Demand Theme</x:v>
      </x:c>
      <x:c r="C45" s="5" t="str">
        <x:v>Windmill Capital</x:v>
      </x:c>
      <x:c r="D45" s="5" t="str">
        <x:v>Sector / industry theme</x:v>
      </x:c>
      <x:c r="E45" s="5" t="str">
        <x:v>Consumer, FMCG &amp; durables</x:v>
      </x:c>
      <x:c r="F45" s="5" t="str">
        <x:v>Other / not specified</x:v>
      </x:c>
      <x:c r="G45" s="6" t="n">
        <x:v>36144</x:v>
      </x:c>
      <x:c r="H45" s="4" t="str">
        <x:v>Medium</x:v>
      </x:c>
      <x:c r="I45" s="4" t="str">
        <x:v>Free access</x:v>
      </x:c>
      <x:c r="J45" s="6"/>
      <x:c r="K45" s="5" t="str">
        <x:v>Companies that stand to benefit from increasing rural consumption</x:v>
      </x:c>
      <x:c r="L45" s="5" t="str">
        <x:v>Title and listing description</x:v>
      </x:c>
      <x:c r="M45" s="7" t="d">
        <x:v>2026-09-23T00:00:00.000Z</x:v>
      </x:c>
      <x:c r="N45" s="8" t="str">
        <x:v>https://www.smallcase.com/smallcase/rising-rural-demand-SCNM_0012</x:v>
      </x:c>
      <x:c r="O45" s="4" t="str">
        <x:v>SCNM_0012</x:v>
      </x:c>
      <x:c r="P45" s="5" t="str"/>
    </x:row>
    <x:row r="46" ht="60" customHeight="1">
      <x:c r="A46" s="4" t="n">
        <x:v>41</x:v>
      </x:c>
      <x:c r="B46" s="5" t="str">
        <x:v>Safe Haven Model</x:v>
      </x:c>
      <x:c r="C46" s="5" t="str">
        <x:v>Windmill Capital</x:v>
      </x:c>
      <x:c r="D46" s="5" t="str">
        <x:v>Diversified / strategy</x:v>
      </x:c>
      <x:c r="E46" s="5" t="str">
        <x:v>No specific industry mandate identified</x:v>
      </x:c>
      <x:c r="F46" s="5" t="str">
        <x:v>Other / not specified</x:v>
      </x:c>
      <x:c r="G46" s="6" t="n">
        <x:v>45451</x:v>
      </x:c>
      <x:c r="H46" s="4" t="str">
        <x:v>Medium</x:v>
      </x:c>
      <x:c r="I46" s="4" t="str">
        <x:v>Free access</x:v>
      </x:c>
      <x:c r="J46" s="6"/>
      <x:c r="K46" s="5" t="str">
        <x:v>Low beta stocks that are rated ‘BUY’, to help protect against market volatility</x:v>
      </x:c>
      <x:c r="L46" s="5" t="str">
        <x:v>No sector tags assigned; see description</x:v>
      </x:c>
      <x:c r="M46" s="7" t="d">
        <x:v>2026-09-15T00:00:00.000Z</x:v>
      </x:c>
      <x:c r="N46" s="8" t="str">
        <x:v>https://www.smallcase.com/smallcase/safe-haven-SCMO_0015</x:v>
      </x:c>
      <x:c r="O46" s="4" t="str">
        <x:v>SCMO_0015</x:v>
      </x:c>
      <x:c r="P46" s="5" t="str">
        <x:v>Diversified; sector mandate not specified</x:v>
      </x:c>
    </x:row>
    <x:row r="47" ht="60" customHeight="1">
      <x:c r="A47" s="4" t="n">
        <x:v>42</x:v>
      </x:c>
      <x:c r="B47" s="5" t="str">
        <x:v>Omni Bharat Defence Theme</x:v>
      </x:c>
      <x:c r="C47" s="5" t="str">
        <x:v>Omniscience Capital</x:v>
      </x:c>
      <x:c r="D47" s="5" t="str">
        <x:v>Sector / industry theme</x:v>
      </x:c>
      <x:c r="E47" s="5" t="str">
        <x:v>Defence &amp; aerospace</x:v>
      </x:c>
      <x:c r="F47" s="5" t="str">
        <x:v>Other / not specified</x:v>
      </x:c>
      <x:c r="G47" s="6" t="n">
        <x:v>85470</x:v>
      </x:c>
      <x:c r="H47" s="4" t="str">
        <x:v>High</x:v>
      </x:c>
      <x:c r="I47" s="4" t="str">
        <x:v>Fee based</x:v>
      </x:c>
      <x:c r="J47" s="6" t="n">
        <x:v>1075</x:v>
      </x:c>
      <x:c r="K47" s="5" t="str">
        <x:v>Defend Bharat with an attacking portfolio.</x:v>
      </x:c>
      <x:c r="L47" s="5" t="str">
        <x:v>Title and listing description</x:v>
      </x:c>
      <x:c r="M47" s="7" t="d">
        <x:v>2026-09-17T00:00:00.000Z</x:v>
      </x:c>
      <x:c r="N47" s="8" t="str">
        <x:v>https://www.smallcase.com/smallcase/omni-bharat-defence-OMNNM_0012</x:v>
      </x:c>
      <x:c r="O47" s="4" t="str">
        <x:v>OMNNM_0012</x:v>
      </x:c>
      <x:c r="P47" s="5" t="str"/>
    </x:row>
    <x:row r="48" ht="60" customHeight="1">
      <x:c r="A48" s="4" t="n">
        <x:v>43</x:v>
      </x:c>
      <x:c r="B48" s="5" t="str">
        <x:v>Realty Tracker</x:v>
      </x:c>
      <x:c r="C48" s="5" t="str">
        <x:v>Windmill Capital</x:v>
      </x:c>
      <x:c r="D48" s="5" t="str">
        <x:v>Sector / industry theme</x:v>
      </x:c>
      <x:c r="E48" s="5" t="str">
        <x:v>Real estate, housing &amp; REITs</x:v>
      </x:c>
      <x:c r="F48" s="5" t="str">
        <x:v>Other / not specified</x:v>
      </x:c>
      <x:c r="G48" s="6" t="n">
        <x:v>17120</x:v>
      </x:c>
      <x:c r="H48" s="4" t="str">
        <x:v>High</x:v>
      </x:c>
      <x:c r="I48" s="4" t="str">
        <x:v>Free access</x:v>
      </x:c>
      <x:c r="J48" s="6"/>
      <x:c r="K48" s="5" t="str">
        <x:v>Companies to efficiently track and invest in the realty sector</x:v>
      </x:c>
      <x:c r="L48" s="5" t="str">
        <x:v>Title and listing description</x:v>
      </x:c>
      <x:c r="M48" s="7" t="d">
        <x:v>2026-09-17T00:00:00.000Z</x:v>
      </x:c>
      <x:c r="N48" s="8" t="str">
        <x:v>https://www.smallcase.com/smallcase/realty-tracker-SCTR_0010</x:v>
      </x:c>
      <x:c r="O48" s="4" t="str">
        <x:v>SCTR_0010</x:v>
      </x:c>
      <x:c r="P48" s="5" t="str"/>
    </x:row>
    <x:row r="49" ht="60" customHeight="1">
      <x:c r="A49" s="4" t="n">
        <x:v>44</x:v>
      </x:c>
      <x:c r="B49" s="5" t="str">
        <x:v>High Quality Right Price Theme</x:v>
      </x:c>
      <x:c r="C49" s="5" t="str">
        <x:v>Green Portfolio</x:v>
      </x:c>
      <x:c r="D49" s="5" t="str">
        <x:v>Sector / industry theme</x:v>
      </x:c>
      <x:c r="E49" s="5" t="str">
        <x:v>Manufacturing &amp; industrials</x:v>
      </x:c>
      <x:c r="F49" s="5" t="str">
        <x:v>Fundamental / growth / quality</x:v>
      </x:c>
      <x:c r="G49" s="6" t="n">
        <x:v>30510</x:v>
      </x:c>
      <x:c r="H49" s="4" t="str">
        <x:v>High</x:v>
      </x:c>
      <x:c r="I49" s="4" t="str">
        <x:v>Fee based</x:v>
      </x:c>
      <x:c r="J49" s="6" t="n">
        <x:v>675</x:v>
      </x:c>
      <x:c r="K49" s="5" t="str">
        <x:v>Invest in stocks that will benefit from Aatma Nirbhar Bharat theme!</x:v>
      </x:c>
      <x:c r="L49" s="5" t="str">
        <x:v>Title and listing description</x:v>
      </x:c>
      <x:c r="M49" s="7" t="d">
        <x:v>2026-10-09T00:00:00.000Z</x:v>
      </x:c>
      <x:c r="N49" s="8" t="str">
        <x:v>https://www.smallcase.com/smallcase/%22high-quality-right-price%22-multibagger-portfolio-GPRMO_0003</x:v>
      </x:c>
      <x:c r="O49" s="4" t="str">
        <x:v>GPRMO_0003</x:v>
      </x:c>
      <x:c r="P49" s="5" t="str"/>
    </x:row>
    <x:row r="50" ht="60" customHeight="1">
      <x:c r="A50" s="4" t="n">
        <x:v>45</x:v>
      </x:c>
      <x:c r="B50" s="5" t="str">
        <x:v>Equity &amp; Precious Metals Asset Allocation</x:v>
      </x:c>
      <x:c r="C50" s="5" t="str">
        <x:v>Zerodha Fund House</x:v>
      </x:c>
      <x:c r="D50" s="5" t="str">
        <x:v>Asset allocation / target date</x:v>
      </x:c>
      <x:c r="E50" s="5" t="str">
        <x:v>No specific industry mandate identified</x:v>
      </x:c>
      <x:c r="F50" s="5" t="str">
        <x:v>Asset allocation</x:v>
      </x:c>
      <x:c r="G50" s="6" t="n">
        <x:v>196</x:v>
      </x:c>
      <x:c r="H50" s="4" t="str">
        <x:v>High</x:v>
      </x:c>
      <x:c r="I50" s="4" t="str">
        <x:v>Free access</x:v>
      </x:c>
      <x:c r="J50" s="6"/>
      <x:c r="K50" s="5" t="str">
        <x:v>Large &amp; Midcap, Gold &amp; Silver: Combining potential of equities with the hedge of precious metals</x:v>
      </x:c>
      <x:c r="L50" s="5" t="str">
        <x:v>No sector tags assigned; see description</x:v>
      </x:c>
      <x:c r="M50" s="7" t="d">
        <x:v>2026-10-01T00:00:00.000Z</x:v>
      </x:c>
      <x:c r="N50" s="8" t="str">
        <x:v>https://www.smallcase.com/smallcase/equity-and-precious-metals-asset-allocation-ZEFHAA_0004</x:v>
      </x:c>
      <x:c r="O50" s="4" t="str">
        <x:v>ZEFHAA_0004</x:v>
      </x:c>
      <x:c r="P50" s="5" t="str">
        <x:v>Asset allocation / target date</x:v>
      </x:c>
    </x:row>
    <x:row r="51" ht="60" customHeight="1">
      <x:c r="A51" s="4" t="n">
        <x:v>46</x:v>
      </x:c>
      <x:c r="B51" s="5" t="str">
        <x:v>True Turtles Microcap Leaders Model</x:v>
      </x:c>
      <x:c r="C51" s="5" t="str">
        <x:v>TRUE TURTLES LLP</x:v>
      </x:c>
      <x:c r="D51" s="5" t="str">
        <x:v>Diversified / strategy</x:v>
      </x:c>
      <x:c r="E51" s="5" t="str">
        <x:v>No specific industry mandate identified</x:v>
      </x:c>
      <x:c r="F51" s="5" t="str">
        <x:v>Other / not specified</x:v>
      </x:c>
      <x:c r="G51" s="6" t="n">
        <x:v>357064</x:v>
      </x:c>
      <x:c r="H51" s="4" t="str">
        <x:v>Medium</x:v>
      </x:c>
      <x:c r="I51" s="4" t="str">
        <x:v>Fee based</x:v>
      </x:c>
      <x:c r="J51" s="6" t="n">
        <x:v>1666</x:v>
      </x:c>
      <x:c r="K51" s="5" t="str">
        <x:v>A Systematic Microcap Portfolio focused on stocks showing leadership across parameters</x:v>
      </x:c>
      <x:c r="L51" s="5" t="str">
        <x:v>No sector tags assigned; see description</x:v>
      </x:c>
      <x:c r="M51" s="7" t="d">
        <x:v>2026-10-27T00:00:00.000Z</x:v>
      </x:c>
      <x:c r="N51" s="8" t="str">
        <x:v>https://www.smallcase.com/smallcase/true-turtles-microcap-leaders-model-TRTUMX_0004</x:v>
      </x:c>
      <x:c r="O51" s="4" t="str">
        <x:v>TRTUMX_0004</x:v>
      </x:c>
      <x:c r="P51" s="5" t="str">
        <x:v>Diversified; sector mandate not specified</x:v>
      </x:c>
    </x:row>
    <x:row r="52" ht="60" customHeight="1">
      <x:c r="A52" s="4" t="n">
        <x:v>47</x:v>
      </x:c>
      <x:c r="B52" s="5" t="str">
        <x:v>Equity &amp; Debt 70/30 Asset Allocation</x:v>
      </x:c>
      <x:c r="C52" s="5" t="str">
        <x:v>Zerodha Fund House</x:v>
      </x:c>
      <x:c r="D52" s="5" t="str">
        <x:v>Asset allocation / target date</x:v>
      </x:c>
      <x:c r="E52" s="5" t="str">
        <x:v>No specific industry mandate identified</x:v>
      </x:c>
      <x:c r="F52" s="5" t="str">
        <x:v>Asset allocation</x:v>
      </x:c>
      <x:c r="G52" s="6" t="n">
        <x:v>91</x:v>
      </x:c>
      <x:c r="H52" s="4" t="str">
        <x:v>Low</x:v>
      </x:c>
      <x:c r="I52" s="4" t="str">
        <x:v>Free access</x:v>
      </x:c>
      <x:c r="J52" s="6"/>
      <x:c r="K52" s="5" t="str">
        <x:v>Largecaps, Midcaps and Debt: A blend of growth potential and stability</x:v>
      </x:c>
      <x:c r="L52" s="5" t="str">
        <x:v>No sector tags assigned; see description</x:v>
      </x:c>
      <x:c r="M52" s="7" t="d">
        <x:v>2026-10-01T00:00:00.000Z</x:v>
      </x:c>
      <x:c r="N52" s="8" t="str">
        <x:v>https://www.smallcase.com/smallcase/equity-and-debt-7030-asset-allocation-ZEFHAA_0005</x:v>
      </x:c>
      <x:c r="O52" s="4" t="str">
        <x:v>ZEFHAA_0005</x:v>
      </x:c>
      <x:c r="P52" s="5" t="str">
        <x:v>Asset allocation / target date</x:v>
      </x:c>
    </x:row>
    <x:row r="53" ht="60" customHeight="1">
      <x:c r="A53" s="4" t="n">
        <x:v>48</x:v>
      </x:c>
      <x:c r="B53" s="5" t="str">
        <x:v>Contra Edge Model</x:v>
      </x:c>
      <x:c r="C53" s="5" t="str">
        <x:v>Mirae Asset</x:v>
      </x:c>
      <x:c r="D53" s="5" t="str">
        <x:v>Diversified / strategy</x:v>
      </x:c>
      <x:c r="E53" s="5" t="str">
        <x:v>No specific industry mandate identified</x:v>
      </x:c>
      <x:c r="F53" s="5" t="str">
        <x:v>Value / contrarian</x:v>
      </x:c>
      <x:c r="G53" s="6" t="n">
        <x:v>50</x:v>
      </x:c>
      <x:c r="H53" s="4" t="str">
        <x:v>Medium</x:v>
      </x:c>
      <x:c r="I53" s="4" t="str">
        <x:v>Free access</x:v>
      </x:c>
      <x:c r="J53" s="6"/>
      <x:c r="K53" s="5" t="str">
        <x:v>Finding opportunity where others see uncertainty.</x:v>
      </x:c>
      <x:c r="L53" s="5" t="str">
        <x:v>No sector tags assigned; see description</x:v>
      </x:c>
      <x:c r="M53" s="7"/>
      <x:c r="N53" s="8" t="str">
        <x:v>https://www.smallcase.com/smallcase/contra-edge-model-MIMOMX_0005</x:v>
      </x:c>
      <x:c r="O53" s="4" t="str">
        <x:v>MIMOMX_0005</x:v>
      </x:c>
      <x:c r="P53" s="5" t="str">
        <x:v>Diversified; sector mandate not specified</x:v>
      </x:c>
    </x:row>
    <x:row r="54" ht="60" customHeight="1">
      <x:c r="A54" s="4" t="n">
        <x:v>49</x:v>
      </x:c>
      <x:c r="B54" s="5" t="str">
        <x:v>Wright Momentum Model</x:v>
      </x:c>
      <x:c r="C54" s="5" t="str">
        <x:v>Wright Research</x:v>
      </x:c>
      <x:c r="D54" s="5" t="str">
        <x:v>Diversified / strategy</x:v>
      </x:c>
      <x:c r="E54" s="5" t="str">
        <x:v>No specific industry mandate identified</x:v>
      </x:c>
      <x:c r="F54" s="5" t="str">
        <x:v>Momentum / trend</x:v>
      </x:c>
      <x:c r="G54" s="6" t="n">
        <x:v>68244</x:v>
      </x:c>
      <x:c r="H54" s="4" t="str">
        <x:v>High</x:v>
      </x:c>
      <x:c r="I54" s="4" t="str">
        <x:v>Fee based</x:v>
      </x:c>
      <x:c r="J54" s="6" t="n">
        <x:v>600</x:v>
      </x:c>
      <x:c r="K54" s="5" t="str">
        <x:v>Momentum investing: Aiming to capitalize on market trends for potential growth.</x:v>
      </x:c>
      <x:c r="L54" s="5" t="str">
        <x:v>No sector tags assigned; see description</x:v>
      </x:c>
      <x:c r="M54" s="7" t="d">
        <x:v>2026-10-26T00:00:00.000Z</x:v>
      </x:c>
      <x:c r="N54" s="8" t="str">
        <x:v>https://www.smallcase.com/smallcase/wright-momentum-WRTNM_0001</x:v>
      </x:c>
      <x:c r="O54" s="4" t="str">
        <x:v>WRTNM_0001</x:v>
      </x:c>
      <x:c r="P54" s="5" t="str">
        <x:v>Diversified; sector mandate not specified</x:v>
      </x:c>
    </x:row>
    <x:row r="55" ht="60" customHeight="1">
      <x:c r="A55" s="4" t="n">
        <x:v>50</x:v>
      </x:c>
      <x:c r="B55" s="5" t="str">
        <x:v>The Great Indian Middle Class Theme</x:v>
      </x:c>
      <x:c r="C55" s="5" t="str">
        <x:v>Windmill Capital</x:v>
      </x:c>
      <x:c r="D55" s="5" t="str">
        <x:v>Sector / industry theme</x:v>
      </x:c>
      <x:c r="E55" s="5" t="str">
        <x:v>Consumer, FMCG &amp; durables</x:v>
      </x:c>
      <x:c r="F55" s="5" t="str">
        <x:v>Other / not specified</x:v>
      </x:c>
      <x:c r="G55" s="6" t="n">
        <x:v>58214</x:v>
      </x:c>
      <x:c r="H55" s="4" t="str">
        <x:v>Medium</x:v>
      </x:c>
      <x:c r="I55" s="4" t="str">
        <x:v>Free access</x:v>
      </x:c>
      <x:c r="J55" s="6"/>
      <x:c r="K55" s="5" t="str">
        <x:v>Companies focused on the growing middle class. Running India's consumption engine</x:v>
      </x:c>
      <x:c r="L55" s="5" t="str">
        <x:v>Title and listing description</x:v>
      </x:c>
      <x:c r="M55" s="7" t="d">
        <x:v>2026-09-17T00:00:00.000Z</x:v>
      </x:c>
      <x:c r="N55" s="8" t="str">
        <x:v>https://www.smallcase.com/smallcase/the-great-indian-middle-class-SCNM_0010</x:v>
      </x:c>
      <x:c r="O55" s="4" t="str">
        <x:v>SCNM_0010</x:v>
      </x:c>
      <x:c r="P55" s="5" t="str"/>
    </x:row>
    <x:row r="56" ht="60" customHeight="1">
      <x:c r="A56" s="4" t="n">
        <x:v>51</x:v>
      </x:c>
      <x:c r="B56" s="5" t="str">
        <x:v>IT Tracker</x:v>
      </x:c>
      <x:c r="C56" s="5" t="str">
        <x:v>Windmill Capital</x:v>
      </x:c>
      <x:c r="D56" s="5" t="str">
        <x:v>Sector / industry theme</x:v>
      </x:c>
      <x:c r="E56" s="5" t="str">
        <x:v>IT, software &amp; digital platforms</x:v>
      </x:c>
      <x:c r="F56" s="5" t="str">
        <x:v>Other / not specified</x:v>
      </x:c>
      <x:c r="G56" s="6" t="n">
        <x:v>103805</x:v>
      </x:c>
      <x:c r="H56" s="4" t="str">
        <x:v>High</x:v>
      </x:c>
      <x:c r="I56" s="4" t="str">
        <x:v>Free access</x:v>
      </x:c>
      <x:c r="J56" s="6"/>
      <x:c r="K56" s="5" t="str">
        <x:v>Companies to efficiently track and invest in the IT sector</x:v>
      </x:c>
      <x:c r="L56" s="5" t="str">
        <x:v>Title and listing description</x:v>
      </x:c>
      <x:c r="M56" s="7" t="d">
        <x:v>2026-09-17T00:00:00.000Z</x:v>
      </x:c>
      <x:c r="N56" s="8" t="str">
        <x:v>https://www.smallcase.com/smallcase/it-tracker-SCTR_0006</x:v>
      </x:c>
      <x:c r="O56" s="4" t="str">
        <x:v>SCTR_0006</x:v>
      </x:c>
      <x:c r="P56" s="5" t="str"/>
    </x:row>
    <x:row r="57" ht="60" customHeight="1">
      <x:c r="A57" s="4" t="n">
        <x:v>52</x:v>
      </x:c>
      <x:c r="B57" s="5" t="str">
        <x:v>Made in India Theme</x:v>
      </x:c>
      <x:c r="C57" s="5" t="str">
        <x:v>Quantace Research</x:v>
      </x:c>
      <x:c r="D57" s="5" t="str">
        <x:v>Sector / industry theme</x:v>
      </x:c>
      <x:c r="E57" s="5" t="str">
        <x:v>Manufacturing &amp; industrials</x:v>
      </x:c>
      <x:c r="F57" s="5" t="str">
        <x:v>Fundamental / growth / quality</x:v>
      </x:c>
      <x:c r="G57" s="6" t="n">
        <x:v>76381</x:v>
      </x:c>
      <x:c r="H57" s="4" t="str">
        <x:v>High</x:v>
      </x:c>
      <x:c r="I57" s="4" t="str">
        <x:v>Fee based</x:v>
      </x:c>
      <x:c r="J57" s="6" t="n">
        <x:v>675</x:v>
      </x:c>
      <x:c r="K57" s="5" t="str">
        <x:v>Powering India's Industrial Growth</x:v>
      </x:c>
      <x:c r="L57" s="5" t="str">
        <x:v>Title and listing description</x:v>
      </x:c>
      <x:c r="M57" s="7" t="d">
        <x:v>2026-10-26T00:00:00.000Z</x:v>
      </x:c>
      <x:c r="N57" s="8" t="str">
        <x:v>https://www.smallcase.com/smallcase/quantace-india-manufacturing-QURENM_0003</x:v>
      </x:c>
      <x:c r="O57" s="4" t="str">
        <x:v>QURENM_0003</x:v>
      </x:c>
      <x:c r="P57" s="5" t="str"/>
    </x:row>
    <x:row r="58" ht="60" customHeight="1">
      <x:c r="A58" s="4" t="n">
        <x:v>53</x:v>
      </x:c>
      <x:c r="B58" s="5" t="str">
        <x:v>MI NNF10 Momentum Model</x:v>
      </x:c>
      <x:c r="C58" s="5" t="str">
        <x:v>Weekend Investing</x:v>
      </x:c>
      <x:c r="D58" s="5" t="str">
        <x:v>Diversified / strategy</x:v>
      </x:c>
      <x:c r="E58" s="5" t="str">
        <x:v>No specific industry mandate identified</x:v>
      </x:c>
      <x:c r="F58" s="5" t="str">
        <x:v>Momentum / trend</x:v>
      </x:c>
      <x:c r="G58" s="6" t="n">
        <x:v>90489</x:v>
      </x:c>
      <x:c r="H58" s="4" t="str">
        <x:v>High</x:v>
      </x:c>
      <x:c r="I58" s="4" t="str">
        <x:v>Fee based</x:v>
      </x:c>
      <x:c r="J58" s="6" t="n">
        <x:v>833</x:v>
      </x:c>
      <x:c r="K58" s="5" t="str">
        <x:v>Strongest top 10 stocks from the Nifty Next50 Index | Rotates into trending Sectors | Mon Rebalanced</x:v>
      </x:c>
      <x:c r="L58" s="5" t="str">
        <x:v>No sector tags assigned; see description</x:v>
      </x:c>
      <x:c r="M58" s="7" t="d">
        <x:v>2026-10-26T00:00:00.000Z</x:v>
      </x:c>
      <x:c r="N58" s="8" t="str">
        <x:v>https://www.smallcase.com/smallcase/mi_nnf10-WKIMO_0009</x:v>
      </x:c>
      <x:c r="O58" s="4" t="str">
        <x:v>WKIMO_0009</x:v>
      </x:c>
      <x:c r="P58" s="5" t="str">
        <x:v>Diversified; sector mandate not specified</x:v>
      </x:c>
    </x:row>
    <x:row r="59" ht="60" customHeight="1">
      <x:c r="A59" s="4" t="n">
        <x:v>54</x:v>
      </x:c>
      <x:c r="B59" s="5" t="str">
        <x:v>ViniyogIndia Momentum Model</x:v>
      </x:c>
      <x:c r="C59" s="5" t="str">
        <x:v>ViniyogIndia</x:v>
      </x:c>
      <x:c r="D59" s="5" t="str">
        <x:v>Diversified / strategy</x:v>
      </x:c>
      <x:c r="E59" s="5" t="str">
        <x:v>No specific industry mandate identified</x:v>
      </x:c>
      <x:c r="F59" s="5" t="str">
        <x:v>Momentum / trend</x:v>
      </x:c>
      <x:c r="G59" s="6" t="n">
        <x:v>162006</x:v>
      </x:c>
      <x:c r="H59" s="4" t="str">
        <x:v>High</x:v>
      </x:c>
      <x:c r="I59" s="4" t="str">
        <x:v>Not shown</x:v>
      </x:c>
      <x:c r="J59" s="6"/>
      <x:c r="K59" s="5" t="str">
        <x:v>Momentum investing strategy. Suitable for aggressive investors</x:v>
      </x:c>
      <x:c r="L59" s="5" t="str">
        <x:v>No sector tags assigned; see description</x:v>
      </x:c>
      <x:c r="M59" s="7" t="d">
        <x:v>2026-08-11T00:00:00.000Z</x:v>
      </x:c>
      <x:c r="N59" s="8" t="str">
        <x:v>https://www.smallcase.com/smallcase/viniyogindia-momentum+-VIYIMO_0001</x:v>
      </x:c>
      <x:c r="O59" s="4" t="str">
        <x:v>VIYIMO_0001</x:v>
      </x:c>
      <x:c r="P59" s="5" t="str">
        <x:v>Diversified; sector mandate not specified</x:v>
      </x:c>
    </x:row>
    <x:row r="60" ht="60" customHeight="1">
      <x:c r="A60" s="4" t="n">
        <x:v>55</x:v>
      </x:c>
      <x:c r="B60" s="5" t="str">
        <x:v>AI &amp; Data Center Value Chain Theme</x:v>
      </x:c>
      <x:c r="C60" s="5" t="str">
        <x:v>Windmill Capital</x:v>
      </x:c>
      <x:c r="D60" s="5" t="str">
        <x:v>Sector / industry theme</x:v>
      </x:c>
      <x:c r="E60" s="5" t="str">
        <x:v>AI, data centres &amp; digital infrastructure; Power, utilities &amp; energy</x:v>
      </x:c>
      <x:c r="F60" s="5" t="str">
        <x:v>Value / contrarian</x:v>
      </x:c>
      <x:c r="G60" s="6" t="n">
        <x:v>62807</x:v>
      </x:c>
      <x:c r="H60" s="4" t="str">
        <x:v>High</x:v>
      </x:c>
      <x:c r="I60" s="4" t="str">
        <x:v>Fee based</x:v>
      </x:c>
      <x:c r="J60" s="6" t="n">
        <x:v>512</x:v>
      </x:c>
      <x:c r="K60" s="5" t="str">
        <x:v>Companies across India's data center &amp; AI infra - power, electrical &amp; grid, cooling, DC developers</x:v>
      </x:c>
      <x:c r="L60" s="5" t="str">
        <x:v>Title and listing description</x:v>
      </x:c>
      <x:c r="M60" s="7" t="d">
        <x:v>2026-09-18T00:00:00.000Z</x:v>
      </x:c>
      <x:c r="N60" s="8" t="str">
        <x:v>https://www.smallcase.com/smallcase/ai-and-data-center-value-chain-theme-SCNM_0027</x:v>
      </x:c>
      <x:c r="O60" s="4" t="str">
        <x:v>SCNM_0027</x:v>
      </x:c>
      <x:c r="P60" s="5" t="str"/>
    </x:row>
    <x:row r="61" ht="60" customHeight="1">
      <x:c r="A61" s="4" t="n">
        <x:v>56</x:v>
      </x:c>
      <x:c r="B61" s="5" t="str">
        <x:v>Bullion Duo Model</x:v>
      </x:c>
      <x:c r="C61" s="5" t="str">
        <x:v>Mirae Asset</x:v>
      </x:c>
      <x:c r="D61" s="5" t="str">
        <x:v>Precious metals / bullion</x:v>
      </x:c>
      <x:c r="E61" s="5" t="str">
        <x:v>No specific industry mandate identified</x:v>
      </x:c>
      <x:c r="F61" s="5" t="str">
        <x:v>Precious metals</x:v>
      </x:c>
      <x:c r="G61" s="6" t="n">
        <x:v>593</x:v>
      </x:c>
      <x:c r="H61" s="4" t="str">
        <x:v>Low</x:v>
      </x:c>
      <x:c r="I61" s="4" t="str">
        <x:v>Free access</x:v>
      </x:c>
      <x:c r="J61" s="6"/>
      <x:c r="K61" s="5" t="str">
        <x:v>Two precious metals. One dynamic strategy</x:v>
      </x:c>
      <x:c r="L61" s="5" t="str">
        <x:v>No sector tags assigned; see description</x:v>
      </x:c>
      <x:c r="M61" s="7"/>
      <x:c r="N61" s="8" t="str">
        <x:v>https://www.smallcase.com/smallcase/bullion-duo-model-MIMOMX_0001</x:v>
      </x:c>
      <x:c r="O61" s="4" t="str">
        <x:v>MIMOMX_0001</x:v>
      </x:c>
      <x:c r="P61" s="5" t="str">
        <x:v>Precious metals / bullion</x:v>
      </x:c>
    </x:row>
    <x:row r="62" ht="60" customHeight="1">
      <x:c r="A62" s="4" t="n">
        <x:v>57</x:v>
      </x:c>
      <x:c r="B62" s="5" t="str">
        <x:v>NRI-Core Consumption Compounders Fundamental</x:v>
      </x:c>
      <x:c r="C62" s="5" t="str">
        <x:v>INVEST4EDU PRIVATE LIMITED</x:v>
      </x:c>
      <x:c r="D62" s="5" t="str">
        <x:v>Sector / industry theme</x:v>
      </x:c>
      <x:c r="E62" s="5" t="str">
        <x:v>Consumer, FMCG &amp; durables</x:v>
      </x:c>
      <x:c r="F62" s="5" t="str">
        <x:v>Fundamental / growth / quality</x:v>
      </x:c>
      <x:c r="G62" s="6" t="n">
        <x:v>2000000</x:v>
      </x:c>
      <x:c r="H62" s="4" t="str">
        <x:v>High</x:v>
      </x:c>
      <x:c r="I62" s="4" t="str">
        <x:v>Fee based</x:v>
      </x:c>
      <x:c r="J62" s="6" t="n">
        <x:v>5900</x:v>
      </x:c>
      <x:c r="K62" s="5" t="str">
        <x:v>NRI-Core Consumption Compounders : Tapping India’s consumption growth via resilient wealth creators.</x:v>
      </x:c>
      <x:c r="L62" s="5" t="str">
        <x:v>Title and listing description</x:v>
      </x:c>
      <x:c r="M62" s="7" t="d">
        <x:v>2026-09-16T00:00:00.000Z</x:v>
      </x:c>
      <x:c r="N62" s="8" t="str">
        <x:v>https://www.smallcase.com/smallcase/nri-core-consumption-compounders-fundamental-IEDUFMM_0002</x:v>
      </x:c>
      <x:c r="O62" s="4" t="str">
        <x:v>IEDUFMM_0002</x:v>
      </x:c>
      <x:c r="P62" s="5" t="str"/>
    </x:row>
    <x:row r="63" ht="60" customHeight="1">
      <x:c r="A63" s="4" t="n">
        <x:v>58</x:v>
      </x:c>
      <x:c r="B63" s="5" t="str">
        <x:v>Growth Multicap - Quant</x:v>
      </x:c>
      <x:c r="C63" s="5" t="str">
        <x:v>Windmill Capital</x:v>
      </x:c>
      <x:c r="D63" s="5" t="str">
        <x:v>Diversified / strategy</x:v>
      </x:c>
      <x:c r="E63" s="5" t="str">
        <x:v>No specific industry mandate identified</x:v>
      </x:c>
      <x:c r="F63" s="5" t="str">
        <x:v>Quant / factor</x:v>
      </x:c>
      <x:c r="G63" s="6" t="n">
        <x:v>83175</x:v>
      </x:c>
      <x:c r="H63" s="4" t="str">
        <x:v>High</x:v>
      </x:c>
      <x:c r="I63" s="4" t="str">
        <x:v>Fee based</x:v>
      </x:c>
      <x:c r="J63" s="6" t="n">
        <x:v>716</x:v>
      </x:c>
      <x:c r="K63" s="5" t="str">
        <x:v>High-growth multi cap stocks with strong price trends</x:v>
      </x:c>
      <x:c r="L63" s="5" t="str">
        <x:v>No sector tags assigned; see description</x:v>
      </x:c>
      <x:c r="M63" s="7" t="d">
        <x:v>2026-10-06T00:00:00.000Z</x:v>
      </x:c>
      <x:c r="N63" s="8" t="str">
        <x:v>https://www.smallcase.com/smallcase/growth-multicap-quant-SCQM_0002</x:v>
      </x:c>
      <x:c r="O63" s="4" t="str">
        <x:v>SCQM_0002</x:v>
      </x:c>
      <x:c r="P63" s="5" t="str">
        <x:v>Diversified; sector mandate not specified</x:v>
      </x:c>
    </x:row>
    <x:row r="64" ht="60" customHeight="1">
      <x:c r="A64" s="4" t="n">
        <x:v>59</x:v>
      </x:c>
      <x:c r="B64" s="5" t="str">
        <x:v>Green Ethical Portfolio - Shariah Investing Theme</x:v>
      </x:c>
      <x:c r="C64" s="5" t="str">
        <x:v>Green Portfolio</x:v>
      </x:c>
      <x:c r="D64" s="5" t="str">
        <x:v>Ethical / ESG screen</x:v>
      </x:c>
      <x:c r="E64" s="5" t="str">
        <x:v>No specific industry mandate identified</x:v>
      </x:c>
      <x:c r="F64" s="5" t="str">
        <x:v>Ethical / ESG</x:v>
      </x:c>
      <x:c r="G64" s="6" t="n">
        <x:v>41609</x:v>
      </x:c>
      <x:c r="H64" s="4" t="str">
        <x:v>High</x:v>
      </x:c>
      <x:c r="I64" s="4" t="str">
        <x:v>Fee based</x:v>
      </x:c>
      <x:c r="J64" s="6" t="n">
        <x:v>590</x:v>
      </x:c>
      <x:c r="K64" s="5" t="str">
        <x:v>Invest in shariah compliant portfolio of stocks for high growth!</x:v>
      </x:c>
      <x:c r="L64" s="5" t="str">
        <x:v>No sector tags assigned; see description</x:v>
      </x:c>
      <x:c r="M64" s="7" t="d">
        <x:v>2026-10-09T00:00:00.000Z</x:v>
      </x:c>
      <x:c r="N64" s="8" t="str">
        <x:v>https://www.smallcase.com/smallcase/green-ethical-portfolio-GPRNM_0010</x:v>
      </x:c>
      <x:c r="O64" s="4" t="str">
        <x:v>GPRNM_0010</x:v>
      </x:c>
      <x:c r="P64" s="5" t="str">
        <x:v>Ethical / ESG screen</x:v>
      </x:c>
    </x:row>
    <x:row r="65" ht="60" customHeight="1">
      <x:c r="A65" s="4" t="n">
        <x:v>60</x:v>
      </x:c>
      <x:c r="B65" s="5" t="str">
        <x:v>Horizon 2035 Target Date</x:v>
      </x:c>
      <x:c r="C65" s="5" t="str">
        <x:v>Windmill Capital</x:v>
      </x:c>
      <x:c r="D65" s="5" t="str">
        <x:v>Asset allocation / target date</x:v>
      </x:c>
      <x:c r="E65" s="5" t="str">
        <x:v>No specific industry mandate identified</x:v>
      </x:c>
      <x:c r="F65" s="5" t="str">
        <x:v>Asset allocation</x:v>
      </x:c>
      <x:c r="G65" s="6" t="n">
        <x:v>2819</x:v>
      </x:c>
      <x:c r="H65" s="4" t="str">
        <x:v>Low</x:v>
      </x:c>
      <x:c r="I65" s="4" t="str">
        <x:v>Fee based</x:v>
      </x:c>
      <x:c r="J65" s="6" t="n">
        <x:v>116</x:v>
      </x:c>
      <x:c r="K65" s="5" t="str">
        <x:v>Multi-asset portfolio optimizing investment value in 2035, for goals like retirement and education</x:v>
      </x:c>
      <x:c r="L65" s="5" t="str">
        <x:v>No sector tags assigned; see description</x:v>
      </x:c>
      <x:c r="M65" s="7" t="d">
        <x:v>2026-01-06T00:00:00.000Z</x:v>
      </x:c>
      <x:c r="N65" s="8" t="str">
        <x:v>https://www.smallcase.com/smallcase/retirement-2035-SCET_0017</x:v>
      </x:c>
      <x:c r="O65" s="4" t="str">
        <x:v>SCET_0017</x:v>
      </x:c>
      <x:c r="P65" s="5" t="str">
        <x:v>Asset allocation / target date</x:v>
      </x:c>
    </x:row>
    <x:row r="66" ht="60" customHeight="1">
      <x:c r="A66" s="4" t="n">
        <x:v>61</x:v>
      </x:c>
      <x:c r="B66" s="5" t="str">
        <x:v>SmartWealth.ai Samvat Portfolio Quant</x:v>
      </x:c>
      <x:c r="C66" s="5" t="str">
        <x:v>SmartWealth.ai</x:v>
      </x:c>
      <x:c r="D66" s="5" t="str">
        <x:v>Asset allocation / target date</x:v>
      </x:c>
      <x:c r="E66" s="5" t="str">
        <x:v>No specific industry mandate identified</x:v>
      </x:c>
      <x:c r="F66" s="5" t="str">
        <x:v>Asset allocation</x:v>
      </x:c>
      <x:c r="G66" s="6" t="n">
        <x:v>3924</x:v>
      </x:c>
      <x:c r="H66" s="4" t="str">
        <x:v>High</x:v>
      </x:c>
      <x:c r="I66" s="4" t="str">
        <x:v>Free access</x:v>
      </x:c>
      <x:c r="J66" s="6"/>
      <x:c r="K66" s="5" t="str">
        <x:v>Gold Hedge Advantage with Stock Growth Potential | Quarterly Rebalanced for Effortless Investing</x:v>
      </x:c>
      <x:c r="L66" s="5" t="str">
        <x:v>No sector tags assigned; see description</x:v>
      </x:c>
      <x:c r="M66" s="7" t="d">
        <x:v>2026-10-22T00:00:00.000Z</x:v>
      </x:c>
      <x:c r="N66" s="8" t="str">
        <x:v>https://www.smallcase.com/smallcase/smartwealth.ai-samvat-portfolio-quant-SMWAQM_0002</x:v>
      </x:c>
      <x:c r="O66" s="4" t="str">
        <x:v>SMWAQM_0002</x:v>
      </x:c>
      <x:c r="P66" s="5" t="str">
        <x:v>Asset allocation / target date</x:v>
      </x:c>
    </x:row>
    <x:row r="67" ht="60" customHeight="1">
      <x:c r="A67" s="4" t="n">
        <x:v>62</x:v>
      </x:c>
      <x:c r="B67" s="5" t="str">
        <x:v>Alpha Prime Momentum Model</x:v>
      </x:c>
      <x:c r="C67" s="5" t="str">
        <x:v>Wright Research</x:v>
      </x:c>
      <x:c r="D67" s="5" t="str">
        <x:v>Diversified / strategy</x:v>
      </x:c>
      <x:c r="E67" s="5" t="str">
        <x:v>No specific industry mandate identified</x:v>
      </x:c>
      <x:c r="F67" s="5" t="str">
        <x:v>Momentum / trend</x:v>
      </x:c>
      <x:c r="G67" s="6" t="n">
        <x:v>23965</x:v>
      </x:c>
      <x:c r="H67" s="4" t="str">
        <x:v>High</x:v>
      </x:c>
      <x:c r="I67" s="4" t="str">
        <x:v>Fee based</x:v>
      </x:c>
      <x:c r="J67" s="6" t="n">
        <x:v>833</x:v>
      </x:c>
      <x:c r="K67" s="5" t="str">
        <x:v>Concentrated Trend: High risk, high strategy aiming to generate alpha return with a few stocks</x:v>
      </x:c>
      <x:c r="L67" s="5" t="str">
        <x:v>No sector tags assigned; see description</x:v>
      </x:c>
      <x:c r="M67" s="7" t="d">
        <x:v>2026-10-26T00:00:00.000Z</x:v>
      </x:c>
      <x:c r="N67" s="8" t="str">
        <x:v>https://www.smallcase.com/smallcase/concentrated-momentum-WRTMO_0018</x:v>
      </x:c>
      <x:c r="O67" s="4" t="str">
        <x:v>WRTMO_0018</x:v>
      </x:c>
      <x:c r="P67" s="5" t="str">
        <x:v>Diversified; sector mandate not specified</x:v>
      </x:c>
    </x:row>
    <x:row r="68" ht="60" customHeight="1">
      <x:c r="A68" s="4" t="n">
        <x:v>63</x:v>
      </x:c>
      <x:c r="B68" s="5" t="str">
        <x:v>Smallcap Compounders Theme</x:v>
      </x:c>
      <x:c r="C68" s="5" t="str">
        <x:v>Green Portfolio</x:v>
      </x:c>
      <x:c r="D68" s="5" t="str">
        <x:v>Diversified / strategy</x:v>
      </x:c>
      <x:c r="E68" s="5" t="str">
        <x:v>No specific industry mandate identified</x:v>
      </x:c>
      <x:c r="F68" s="5" t="str">
        <x:v>Fundamental / growth / quality</x:v>
      </x:c>
      <x:c r="G68" s="6" t="n">
        <x:v>17463</x:v>
      </x:c>
      <x:c r="H68" s="4" t="str">
        <x:v>High</x:v>
      </x:c>
      <x:c r="I68" s="4" t="str">
        <x:v>Fee based</x:v>
      </x:c>
      <x:c r="J68" s="6" t="n">
        <x:v>590</x:v>
      </x:c>
      <x:c r="K68" s="5" t="str">
        <x:v>Invest in smallcap stocks which can generate multifold returns.</x:v>
      </x:c>
      <x:c r="L68" s="5" t="str">
        <x:v>No sector tags assigned; see description</x:v>
      </x:c>
      <x:c r="M68" s="7" t="d">
        <x:v>2026-10-09T00:00:00.000Z</x:v>
      </x:c>
      <x:c r="N68" s="8" t="str">
        <x:v>https://www.smallcase.com/smallcase/smallcap-super-compounder-stocks-GPRMO_0006</x:v>
      </x:c>
      <x:c r="O68" s="4" t="str">
        <x:v>GPRMO_0006</x:v>
      </x:c>
      <x:c r="P68" s="5" t="str">
        <x:v>Diversified; sector mandate not specified</x:v>
      </x:c>
    </x:row>
    <x:row r="69" ht="60" customHeight="1">
      <x:c r="A69" s="4" t="n">
        <x:v>64</x:v>
      </x:c>
      <x:c r="B69" s="5" t="str">
        <x:v>Make in India Theme</x:v>
      </x:c>
      <x:c r="C69" s="5" t="str">
        <x:v>Niveshaay</x:v>
      </x:c>
      <x:c r="D69" s="5" t="str">
        <x:v>Sector / industry theme</x:v>
      </x:c>
      <x:c r="E69" s="5" t="str">
        <x:v>Manufacturing &amp; industrials</x:v>
      </x:c>
      <x:c r="F69" s="5" t="str">
        <x:v>Other / not specified</x:v>
      </x:c>
      <x:c r="G69" s="6" t="n">
        <x:v>81292</x:v>
      </x:c>
      <x:c r="H69" s="4" t="str">
        <x:v>High</x:v>
      </x:c>
      <x:c r="I69" s="4" t="str">
        <x:v>Fee based</x:v>
      </x:c>
      <x:c r="J69" s="6" t="n">
        <x:v>800</x:v>
      </x:c>
      <x:c r="K69" s="5" t="str">
        <x:v>A smallcase that plays on India's expanding manufacturing sector.</x:v>
      </x:c>
      <x:c r="L69" s="5" t="str">
        <x:v>Title and listing description</x:v>
      </x:c>
      <x:c r="M69" s="7" t="d">
        <x:v>2026-08-20T00:00:00.000Z</x:v>
      </x:c>
      <x:c r="N69" s="8" t="str">
        <x:v>https://www.smallcase.com/smallcase/make-in-india-NIVNM_0001</x:v>
      </x:c>
      <x:c r="O69" s="4" t="str">
        <x:v>NIVNM_0001</x:v>
      </x:c>
      <x:c r="P69" s="5" t="str"/>
    </x:row>
    <x:row r="70" ht="60" customHeight="1">
      <x:c r="A70" s="4" t="n">
        <x:v>65</x:v>
      </x:c>
      <x:c r="B70" s="5" t="str">
        <x:v>F.L.U.I.D - C Model</x:v>
      </x:c>
      <x:c r="C70" s="5" t="str">
        <x:v>Shashank Sunil Udupa</x:v>
      </x:c>
      <x:c r="D70" s="5" t="str">
        <x:v>Diversified / strategy</x:v>
      </x:c>
      <x:c r="E70" s="5" t="str">
        <x:v>No specific industry mandate identified</x:v>
      </x:c>
      <x:c r="F70" s="5" t="str">
        <x:v>Other / not specified</x:v>
      </x:c>
      <x:c r="G70" s="6" t="n">
        <x:v>68023</x:v>
      </x:c>
      <x:c r="H70" s="4" t="str">
        <x:v>High</x:v>
      </x:c>
      <x:c r="I70" s="4" t="str">
        <x:v>Fee based</x:v>
      </x:c>
      <x:c r="J70" s="6" t="n">
        <x:v>833</x:v>
      </x:c>
      <x:c r="K70" s="5" t="str">
        <x:v>The F.L.U.I.D - C Basket is a curated strategy designed for long-term wealth creation.</x:v>
      </x:c>
      <x:c r="L70" s="5" t="str">
        <x:v>No sector tags assigned; see description</x:v>
      </x:c>
      <x:c r="M70" s="7" t="d">
        <x:v>2026-09-01T00:00:00.000Z</x:v>
      </x:c>
      <x:c r="N70" s="8" t="str">
        <x:v>https://www.smallcase.com/smallcase/f.l.u.i.d-c-fundamental-SKUPAFMM_0001</x:v>
      </x:c>
      <x:c r="O70" s="4" t="str">
        <x:v>SKUPAFMM_0001</x:v>
      </x:c>
      <x:c r="P70" s="5" t="str">
        <x:v>Diversified; sector mandate not specified</x:v>
      </x:c>
    </x:row>
    <x:row r="71" ht="60" customHeight="1">
      <x:c r="A71" s="4" t="n">
        <x:v>66</x:v>
      </x:c>
      <x:c r="B71" s="5" t="str">
        <x:v>Core Consumption Compounders Theme</x:v>
      </x:c>
      <x:c r="C71" s="5" t="str">
        <x:v>INVEST4EDU PRIVATE LIMITED</x:v>
      </x:c>
      <x:c r="D71" s="5" t="str">
        <x:v>Sector / industry theme</x:v>
      </x:c>
      <x:c r="E71" s="5" t="str">
        <x:v>Consumer, FMCG &amp; durables</x:v>
      </x:c>
      <x:c r="F71" s="5" t="str">
        <x:v>Fundamental / growth / quality</x:v>
      </x:c>
      <x:c r="G71" s="6" t="n">
        <x:v>2000000</x:v>
      </x:c>
      <x:c r="H71" s="4" t="str">
        <x:v>High</x:v>
      </x:c>
      <x:c r="I71" s="4" t="str">
        <x:v>Fee based</x:v>
      </x:c>
      <x:c r="J71" s="6" t="n">
        <x:v>5900</x:v>
      </x:c>
      <x:c r="K71" s="5" t="str">
        <x:v>Core Consumption Compounders:Harnessing India’s consumption growth through resilient wealth creators</x:v>
      </x:c>
      <x:c r="L71" s="5" t="str">
        <x:v>Title and listing description</x:v>
      </x:c>
      <x:c r="M71" s="7" t="d">
        <x:v>2026-09-16T00:00:00.000Z</x:v>
      </x:c>
      <x:c r="N71" s="8" t="str">
        <x:v>https://www.smallcase.com/smallcase/core-consumption-compounders-fundamental-IEDUFMM_0001</x:v>
      </x:c>
      <x:c r="O71" s="4" t="str">
        <x:v>IEDUFMM_0001</x:v>
      </x:c>
      <x:c r="P71" s="5" t="str"/>
    </x:row>
    <x:row r="72" ht="60" customHeight="1">
      <x:c r="A72" s="4" t="n">
        <x:v>67</x:v>
      </x:c>
      <x:c r="B72" s="5" t="str">
        <x:v>CT Small &amp; Midcap Compounders Fundamental</x:v>
      </x:c>
      <x:c r="C72" s="5" t="str">
        <x:v>CA Tapan Doshi</x:v>
      </x:c>
      <x:c r="D72" s="5" t="str">
        <x:v>Diversified / strategy</x:v>
      </x:c>
      <x:c r="E72" s="5" t="str">
        <x:v>No specific industry mandate identified</x:v>
      </x:c>
      <x:c r="F72" s="5" t="str">
        <x:v>Fundamental / growth / quality</x:v>
      </x:c>
      <x:c r="G72" s="6" t="n">
        <x:v>30274</x:v>
      </x:c>
      <x:c r="H72" s="4" t="str">
        <x:v>High</x:v>
      </x:c>
      <x:c r="I72" s="4" t="str">
        <x:v>Fee based</x:v>
      </x:c>
      <x:c r="J72" s="6" t="n">
        <x:v>749</x:v>
      </x:c>
      <x:c r="K72" s="5" t="str">
        <x:v>High-quality small &amp; midcap companies with strong earnings visibility, capital efficiency, and long.</x:v>
      </x:c>
      <x:c r="L72" s="5" t="str">
        <x:v>No sector tags assigned; see description</x:v>
      </x:c>
      <x:c r="M72" s="7" t="d">
        <x:v>2026-09-03T00:00:00.000Z</x:v>
      </x:c>
      <x:c r="N72" s="8" t="str">
        <x:v>https://www.smallcase.com/smallcase/ct-small-and-midcap-compounders-fundamental-THIVFMM_0004</x:v>
      </x:c>
      <x:c r="O72" s="4" t="str">
        <x:v>THIVFMM_0004</x:v>
      </x:c>
      <x:c r="P72" s="5" t="str">
        <x:v>Diversified; sector mandate not specified</x:v>
      </x:c>
    </x:row>
    <x:row r="73" ht="60" customHeight="1">
      <x:c r="A73" s="4" t="n">
        <x:v>68</x:v>
      </x:c>
      <x:c r="B73" s="5" t="str">
        <x:v>Banking Privately Theme</x:v>
      </x:c>
      <x:c r="C73" s="5" t="str">
        <x:v>Windmill Capital</x:v>
      </x:c>
      <x:c r="D73" s="5" t="str">
        <x:v>Sector / industry theme</x:v>
      </x:c>
      <x:c r="E73" s="5" t="str">
        <x:v>Banks &amp; NBFCs</x:v>
      </x:c>
      <x:c r="F73" s="5" t="str">
        <x:v>Other / not specified</x:v>
      </x:c>
      <x:c r="G73" s="6" t="n">
        <x:v>31643</x:v>
      </x:c>
      <x:c r="H73" s="4" t="str">
        <x:v>High</x:v>
      </x:c>
      <x:c r="I73" s="4" t="str">
        <x:v>Free access</x:v>
      </x:c>
      <x:c r="J73" s="6"/>
      <x:c r="K73" s="5" t="str">
        <x:v>Profitable NBFCs and private banks with low NPAs that are giving PSU banks a run for their money</x:v>
      </x:c>
      <x:c r="L73" s="5" t="str">
        <x:v>Title and listing description</x:v>
      </x:c>
      <x:c r="M73" s="7" t="d">
        <x:v>2026-09-17T00:00:00.000Z</x:v>
      </x:c>
      <x:c r="N73" s="8" t="str">
        <x:v>https://www.smallcase.com/smallcase/banking-privately-SCNM_0008</x:v>
      </x:c>
      <x:c r="O73" s="4" t="str">
        <x:v>SCNM_0008</x:v>
      </x:c>
      <x:c r="P73" s="5" t="str"/>
    </x:row>
    <x:row r="74" ht="60" customHeight="1">
      <x:c r="A74" s="4" t="n">
        <x:v>69</x:v>
      </x:c>
      <x:c r="B74" s="5" t="str">
        <x:v>CWA All Caps 35 Quant</x:v>
      </x:c>
      <x:c r="C74" s="5" t="str">
        <x:v>Compounding Wealth Advisors</x:v>
      </x:c>
      <x:c r="D74" s="5" t="str">
        <x:v>Diversified / strategy</x:v>
      </x:c>
      <x:c r="E74" s="5" t="str">
        <x:v>No specific industry mandate identified</x:v>
      </x:c>
      <x:c r="F74" s="5" t="str">
        <x:v>Quant / factor</x:v>
      </x:c>
      <x:c r="G74" s="6" t="n">
        <x:v>250000</x:v>
      </x:c>
      <x:c r="H74" s="4" t="str">
        <x:v>High</x:v>
      </x:c>
      <x:c r="I74" s="4" t="str">
        <x:v>Fee based</x:v>
      </x:c>
      <x:c r="J74" s="6" t="n">
        <x:v>983</x:v>
      </x:c>
      <x:c r="K74" s="5" t="str">
        <x:v>Systematic Investing in trending and outperforming stocks from Total Market. Recmd amt : 5-15 lacs</x:v>
      </x:c>
      <x:c r="L74" s="5" t="str">
        <x:v>No sector tags assigned; see description</x:v>
      </x:c>
      <x:c r="M74" s="7" t="d">
        <x:v>2026-10-26T00:00:00.000Z</x:v>
      </x:c>
      <x:c r="N74" s="8" t="str">
        <x:v>https://www.smallcase.com/smallcase/cwa-all-caps-35-COWAMO_0001</x:v>
      </x:c>
      <x:c r="O74" s="4" t="str">
        <x:v>COWAMO_0001</x:v>
      </x:c>
      <x:c r="P74" s="5" t="str">
        <x:v>Diversified; sector mandate not specified</x:v>
      </x:c>
    </x:row>
    <x:row r="75" ht="60" customHeight="1">
      <x:c r="A75" s="4" t="n">
        <x:v>70</x:v>
      </x:c>
      <x:c r="B75" s="5" t="str">
        <x:v>Factor X Model</x:v>
      </x:c>
      <x:c r="C75" s="5" t="str">
        <x:v>Mirae Asset</x:v>
      </x:c>
      <x:c r="D75" s="5" t="str">
        <x:v>Diversified / strategy</x:v>
      </x:c>
      <x:c r="E75" s="5" t="str">
        <x:v>No specific industry mandate identified</x:v>
      </x:c>
      <x:c r="F75" s="5" t="str">
        <x:v>Quant / factor</x:v>
      </x:c>
      <x:c r="G75" s="6" t="n">
        <x:v>2925</x:v>
      </x:c>
      <x:c r="H75" s="4" t="str">
        <x:v>Medium</x:v>
      </x:c>
      <x:c r="I75" s="4" t="str">
        <x:v>Free access</x:v>
      </x:c>
      <x:c r="J75" s="6"/>
      <x:c r="K75" s="5" t="str">
        <x:v>Diversified by Factors. Driven by Opportunity.</x:v>
      </x:c>
      <x:c r="L75" s="5" t="str">
        <x:v>No sector tags assigned; see description</x:v>
      </x:c>
      <x:c r="M75" s="7"/>
      <x:c r="N75" s="8" t="str">
        <x:v>https://www.smallcase.com/smallcase/factor-x-model-MIMOMX_0002</x:v>
      </x:c>
      <x:c r="O75" s="4" t="str">
        <x:v>MIMOMX_0002</x:v>
      </x:c>
      <x:c r="P75" s="5" t="str">
        <x:v>Diversified; sector mandate not specified</x:v>
      </x:c>
    </x:row>
    <x:row r="76" ht="60" customHeight="1">
      <x:c r="A76" s="4" t="n">
        <x:v>71</x:v>
      </x:c>
      <x:c r="B76" s="5" t="str">
        <x:v>Next Frontiers Model</x:v>
      </x:c>
      <x:c r="C76" s="5" t="str">
        <x:v>Mirae Asset</x:v>
      </x:c>
      <x:c r="D76" s="5" t="str">
        <x:v>Diversified / strategy</x:v>
      </x:c>
      <x:c r="E76" s="5" t="str">
        <x:v>No specific industry mandate identified</x:v>
      </x:c>
      <x:c r="F76" s="5" t="str">
        <x:v>Fundamental / growth / quality</x:v>
      </x:c>
      <x:c r="G76" s="6" t="n">
        <x:v>597</x:v>
      </x:c>
      <x:c r="H76" s="4" t="str">
        <x:v>Medium</x:v>
      </x:c>
      <x:c r="I76" s="4" t="str">
        <x:v>Free access</x:v>
      </x:c>
      <x:c r="J76" s="6"/>
      <x:c r="K76" s="5" t="str">
        <x:v>Aims to Capture Tomorrow's Growth, Today.</x:v>
      </x:c>
      <x:c r="L76" s="5" t="str">
        <x:v>No sector tags assigned; see description</x:v>
      </x:c>
      <x:c r="M76" s="7"/>
      <x:c r="N76" s="8" t="str">
        <x:v>https://www.smallcase.com/smallcase/next-frontiers-model-MIMOMX_0007</x:v>
      </x:c>
      <x:c r="O76" s="4" t="str">
        <x:v>MIMOMX_0007</x:v>
      </x:c>
      <x:c r="P76" s="5" t="str">
        <x:v>Diversified; sector mandate not specified</x:v>
      </x:c>
    </x:row>
    <x:row r="77" ht="60" customHeight="1">
      <x:c r="A77" s="4" t="n">
        <x:v>72</x:v>
      </x:c>
      <x:c r="B77" s="5" t="str">
        <x:v>Insurance Tracker</x:v>
      </x:c>
      <x:c r="C77" s="5" t="str">
        <x:v>Windmill Capital</x:v>
      </x:c>
      <x:c r="D77" s="5" t="str">
        <x:v>Sector / industry theme</x:v>
      </x:c>
      <x:c r="E77" s="5" t="str">
        <x:v>Insurance</x:v>
      </x:c>
      <x:c r="F77" s="5" t="str">
        <x:v>Other / not specified</x:v>
      </x:c>
      <x:c r="G77" s="6" t="n">
        <x:v>24263</x:v>
      </x:c>
      <x:c r="H77" s="4" t="str">
        <x:v>High</x:v>
      </x:c>
      <x:c r="I77" s="4" t="str">
        <x:v>Free access</x:v>
      </x:c>
      <x:c r="J77" s="6"/>
      <x:c r="K77" s="5" t="str">
        <x:v>Companies to efficiently track and invest in the insurance sector</x:v>
      </x:c>
      <x:c r="L77" s="5" t="str">
        <x:v>Title and listing description</x:v>
      </x:c>
      <x:c r="M77" s="7" t="d">
        <x:v>2026-09-17T00:00:00.000Z</x:v>
      </x:c>
      <x:c r="N77" s="8" t="str">
        <x:v>https://www.smallcase.com/smallcase/insurance-tracker-SCTR_0011</x:v>
      </x:c>
      <x:c r="O77" s="4" t="str">
        <x:v>SCTR_0011</x:v>
      </x:c>
      <x:c r="P77" s="5" t="str"/>
    </x:row>
    <x:row r="78" ht="60" customHeight="1">
      <x:c r="A78" s="4" t="n">
        <x:v>73</x:v>
      </x:c>
      <x:c r="B78" s="5" t="str">
        <x:v>KamayaKya - Value Buy Opportunities Fundamental</x:v>
      </x:c>
      <x:c r="C78" s="5" t="str">
        <x:v>KamayaKya</x:v>
      </x:c>
      <x:c r="D78" s="5" t="str">
        <x:v>Diversified / strategy</x:v>
      </x:c>
      <x:c r="E78" s="5" t="str">
        <x:v>No specific industry mandate identified</x:v>
      </x:c>
      <x:c r="F78" s="5" t="str">
        <x:v>Value / contrarian</x:v>
      </x:c>
      <x:c r="G78" s="6" t="n">
        <x:v>44470</x:v>
      </x:c>
      <x:c r="H78" s="4" t="str">
        <x:v>High</x:v>
      </x:c>
      <x:c r="I78" s="4" t="str">
        <x:v>Fee based</x:v>
      </x:c>
      <x:c r="J78" s="6" t="n">
        <x:v>754</x:v>
      </x:c>
      <x:c r="K78" s="5" t="str">
        <x:v>We look for value where it can be found</x:v>
      </x:c>
      <x:c r="L78" s="5" t="str">
        <x:v>No sector tags assigned; see description</x:v>
      </x:c>
      <x:c r="M78" s="7" t="d">
        <x:v>2026-10-19T00:00:00.000Z</x:v>
      </x:c>
      <x:c r="N78" s="8" t="str">
        <x:v>https://www.smallcase.com/smallcase/kamayakya-value-buy-opportunities-KAKYMO_0001</x:v>
      </x:c>
      <x:c r="O78" s="4" t="str">
        <x:v>KAKYMO_0001</x:v>
      </x:c>
      <x:c r="P78" s="5" t="str">
        <x:v>Diversified; sector mandate not specified</x:v>
      </x:c>
    </x:row>
    <x:row r="79" ht="60" customHeight="1">
      <x:c r="A79" s="4" t="n">
        <x:v>74</x:v>
      </x:c>
      <x:c r="B79" s="5" t="str">
        <x:v>GI Midcap Growth Champions Model</x:v>
      </x:c>
      <x:c r="C79" s="5" t="str">
        <x:v>Growth Investing</x:v>
      </x:c>
      <x:c r="D79" s="5" t="str">
        <x:v>Diversified / strategy</x:v>
      </x:c>
      <x:c r="E79" s="5" t="str">
        <x:v>No specific industry mandate identified</x:v>
      </x:c>
      <x:c r="F79" s="5" t="str">
        <x:v>Fundamental / growth / quality</x:v>
      </x:c>
      <x:c r="G79" s="6" t="n">
        <x:v>51000</x:v>
      </x:c>
      <x:c r="H79" s="4" t="str">
        <x:v>High</x:v>
      </x:c>
      <x:c r="I79" s="4" t="str">
        <x:v>Fee based</x:v>
      </x:c>
      <x:c r="J79" s="6" t="n">
        <x:v>833</x:v>
      </x:c>
      <x:c r="K79" s="5" t="str">
        <x:v>MidCap Top 10 stocks with better growth potential among Midcap 150 Index</x:v>
      </x:c>
      <x:c r="L79" s="5" t="str">
        <x:v>No sector tags assigned; see description</x:v>
      </x:c>
      <x:c r="M79" s="7" t="d">
        <x:v>2026-09-29T00:00:00.000Z</x:v>
      </x:c>
      <x:c r="N79" s="8" t="str">
        <x:v>https://www.smallcase.com/smallcase/gi-growth-champions-GRINMO_0004</x:v>
      </x:c>
      <x:c r="O79" s="4" t="str">
        <x:v>GRINMO_0004</x:v>
      </x:c>
      <x:c r="P79" s="5" t="str">
        <x:v>Diversified; sector mandate not specified</x:v>
      </x:c>
    </x:row>
    <x:row r="80" ht="60" customHeight="1">
      <x:c r="A80" s="4" t="n">
        <x:v>75</x:v>
      </x:c>
      <x:c r="B80" s="5" t="str">
        <x:v>Midcap and Smallcap - Portfolio Size Model</x:v>
      </x:c>
      <x:c r="C80" s="5" t="str">
        <x:v>CAPRIZE INVESTMENT MANAGERS PRIVATE LIMITED</x:v>
      </x:c>
      <x:c r="D80" s="5" t="str">
        <x:v>Diversified / strategy</x:v>
      </x:c>
      <x:c r="E80" s="5" t="str">
        <x:v>No specific industry mandate identified</x:v>
      </x:c>
      <x:c r="F80" s="5" t="str">
        <x:v>Other / not specified</x:v>
      </x:c>
      <x:c r="G80" s="6" t="n">
        <x:v>150000</x:v>
      </x:c>
      <x:c r="H80" s="4" t="str">
        <x:v>High</x:v>
      </x:c>
      <x:c r="I80" s="4" t="str">
        <x:v>Fee based</x:v>
      </x:c>
      <x:c r="J80" s="6" t="n">
        <x:v>767</x:v>
      </x:c>
      <x:c r="K80" s="5" t="str">
        <x:v>Chasing India's $10trn Mcap and GDP journey!</x:v>
      </x:c>
      <x:c r="L80" s="5" t="str">
        <x:v>No sector tags assigned; see description</x:v>
      </x:c>
      <x:c r="M80" s="7" t="d">
        <x:v>2026-10-27T00:00:00.000Z</x:v>
      </x:c>
      <x:c r="N80" s="8" t="str">
        <x:v>https://www.smallcase.com/smallcase/midcap-and-smallcap-thematic-portfolio-CAPINM_0001</x:v>
      </x:c>
      <x:c r="O80" s="4" t="str">
        <x:v>CAPINM_0001</x:v>
      </x:c>
      <x:c r="P80" s="5" t="str">
        <x:v>Diversified; sector mandate not specified</x:v>
      </x:c>
    </x:row>
    <x:row r="81" ht="60" customHeight="1">
      <x:c r="A81" s="4" t="n">
        <x:v>76</x:v>
      </x:c>
      <x:c r="B81" s="5" t="str">
        <x:v>Niveshaay IPO Basket Fundamental</x:v>
      </x:c>
      <x:c r="C81" s="5" t="str">
        <x:v>Niveshaay</x:v>
      </x:c>
      <x:c r="D81" s="5" t="str">
        <x:v>Event / ownership / listing theme</x:v>
      </x:c>
      <x:c r="E81" s="5" t="str">
        <x:v>No specific industry mandate identified</x:v>
      </x:c>
      <x:c r="F81" s="5" t="str">
        <x:v>Fundamental / growth / quality</x:v>
      </x:c>
      <x:c r="G81" s="6" t="n">
        <x:v>77695</x:v>
      </x:c>
      <x:c r="H81" s="4" t="str">
        <x:v>High</x:v>
      </x:c>
      <x:c r="I81" s="4" t="str">
        <x:v>Fee based</x:v>
      </x:c>
      <x:c r="J81" s="6" t="n">
        <x:v>800</x:v>
      </x:c>
      <x:c r="K81" s="5" t="str">
        <x:v>Identifying and selecting newly listed companies which has the potential to become future leaders.</x:v>
      </x:c>
      <x:c r="L81" s="5" t="str">
        <x:v>No sector tags assigned; see description</x:v>
      </x:c>
      <x:c r="M81" s="7" t="d">
        <x:v>2026-10-23T00:00:00.000Z</x:v>
      </x:c>
      <x:c r="N81" s="8" t="str">
        <x:v>https://www.smallcase.com/smallcase/niveshaay-ipo-basket-fundamental-NIVFMM_0001</x:v>
      </x:c>
      <x:c r="O81" s="4" t="str">
        <x:v>NIVFMM_0001</x:v>
      </x:c>
      <x:c r="P81" s="5" t="str">
        <x:v>Event / ownership / listing theme</x:v>
      </x:c>
    </x:row>
    <x:row r="82" ht="60" customHeight="1">
      <x:c r="A82" s="4" t="n">
        <x:v>77</x:v>
      </x:c>
      <x:c r="B82" s="5" t="str">
        <x:v>SE Momentum N500 Top 10 Model</x:v>
      </x:c>
      <x:c r="C82" s="5" t="str">
        <x:v>StockEdge</x:v>
      </x:c>
      <x:c r="D82" s="5" t="str">
        <x:v>Diversified / strategy</x:v>
      </x:c>
      <x:c r="E82" s="5" t="str">
        <x:v>No specific industry mandate identified</x:v>
      </x:c>
      <x:c r="F82" s="5" t="str">
        <x:v>Momentum / trend</x:v>
      </x:c>
      <x:c r="G82" s="6" t="n">
        <x:v>166651</x:v>
      </x:c>
      <x:c r="H82" s="4" t="str">
        <x:v>High</x:v>
      </x:c>
      <x:c r="I82" s="4" t="str">
        <x:v>Fee based</x:v>
      </x:c>
      <x:c r="J82" s="6" t="n">
        <x:v>1000</x:v>
      </x:c>
      <x:c r="K82" s="5" t="str">
        <x:v>A broad-market momentum engine, built on the Nifty 500, designed to perform in all market phases</x:v>
      </x:c>
      <x:c r="L82" s="5" t="str">
        <x:v>No sector tags assigned; see description</x:v>
      </x:c>
      <x:c r="M82" s="7" t="d">
        <x:v>2026-07-27T00:00:00.000Z</x:v>
      </x:c>
      <x:c r="N82" s="8" t="str">
        <x:v>https://www.smallcase.com/smallcase/se-momentum-nifty-500-top-10-model-SEPKMX_0004</x:v>
      </x:c>
      <x:c r="O82" s="4" t="str">
        <x:v>SEPKMX_0004</x:v>
      </x:c>
      <x:c r="P82" s="5" t="str">
        <x:v>Diversified; sector mandate not specified</x:v>
      </x:c>
    </x:row>
    <x:row r="83" ht="60" customHeight="1">
      <x:c r="A83" s="4" t="n">
        <x:v>78</x:v>
      </x:c>
      <x:c r="B83" s="5" t="str">
        <x:v>Fusion X Model</x:v>
      </x:c>
      <x:c r="C83" s="5" t="str">
        <x:v>Mirae Asset</x:v>
      </x:c>
      <x:c r="D83" s="5" t="str">
        <x:v>Asset allocation / target date</x:v>
      </x:c>
      <x:c r="E83" s="5" t="str">
        <x:v>No specific industry mandate identified</x:v>
      </x:c>
      <x:c r="F83" s="5" t="str">
        <x:v>Asset allocation</x:v>
      </x:c>
      <x:c r="G83" s="6" t="n">
        <x:v>1373</x:v>
      </x:c>
      <x:c r="H83" s="4" t="str">
        <x:v>High</x:v>
      </x:c>
      <x:c r="I83" s="4" t="str">
        <x:v>Free access</x:v>
      </x:c>
      <x:c r="J83" s="6"/>
      <x:c r="K83" s="5" t="str">
        <x:v>Adapting Across Markets. Investing Across Assets.</x:v>
      </x:c>
      <x:c r="L83" s="5" t="str">
        <x:v>No sector tags assigned; see description</x:v>
      </x:c>
      <x:c r="M83" s="7"/>
      <x:c r="N83" s="8" t="str">
        <x:v>https://www.smallcase.com/smallcase/fusion-x-model-MIMOMX_0003</x:v>
      </x:c>
      <x:c r="O83" s="4" t="str">
        <x:v>MIMOMX_0003</x:v>
      </x:c>
      <x:c r="P83" s="5" t="str">
        <x:v>Asset allocation / target date</x:v>
      </x:c>
    </x:row>
    <x:row r="84" ht="60" customHeight="1">
      <x:c r="A84" s="4" t="n">
        <x:v>79</x:v>
      </x:c>
      <x:c r="B84" s="5" t="str">
        <x:v>Auto Tracker</x:v>
      </x:c>
      <x:c r="C84" s="5" t="str">
        <x:v>Windmill Capital</x:v>
      </x:c>
      <x:c r="D84" s="5" t="str">
        <x:v>Sector / industry theme</x:v>
      </x:c>
      <x:c r="E84" s="5" t="str">
        <x:v>Automobiles, EVs &amp; components</x:v>
      </x:c>
      <x:c r="F84" s="5" t="str">
        <x:v>Other / not specified</x:v>
      </x:c>
      <x:c r="G84" s="6" t="n">
        <x:v>89122</x:v>
      </x:c>
      <x:c r="H84" s="4" t="str">
        <x:v>High</x:v>
      </x:c>
      <x:c r="I84" s="4" t="str">
        <x:v>Free access</x:v>
      </x:c>
      <x:c r="J84" s="6"/>
      <x:c r="K84" s="5" t="str">
        <x:v>Companies to efficiently track and invest in the auto sector</x:v>
      </x:c>
      <x:c r="L84" s="5" t="str">
        <x:v>Title and listing description</x:v>
      </x:c>
      <x:c r="M84" s="7" t="d">
        <x:v>2026-09-17T00:00:00.000Z</x:v>
      </x:c>
      <x:c r="N84" s="8" t="str">
        <x:v>https://www.smallcase.com/smallcase/auto-tracker-SCTR_0001</x:v>
      </x:c>
      <x:c r="O84" s="4" t="str">
        <x:v>SCTR_0001</x:v>
      </x:c>
      <x:c r="P84" s="5" t="str"/>
    </x:row>
    <x:row r="85" ht="60" customHeight="1">
      <x:c r="A85" s="4" t="n">
        <x:v>80</x:v>
      </x:c>
      <x:c r="B85" s="5" t="str">
        <x:v>VS Bluechip Edge Fundamental</x:v>
      </x:c>
      <x:c r="C85" s="5" t="str">
        <x:v>Value Stocks</x:v>
      </x:c>
      <x:c r="D85" s="5" t="str">
        <x:v>Diversified / strategy</x:v>
      </x:c>
      <x:c r="E85" s="5" t="str">
        <x:v>No specific industry mandate identified</x:v>
      </x:c>
      <x:c r="F85" s="5" t="str">
        <x:v>Fundamental / growth / quality</x:v>
      </x:c>
      <x:c r="G85" s="6" t="n">
        <x:v>250000</x:v>
      </x:c>
      <x:c r="H85" s="4" t="str">
        <x:v>High</x:v>
      </x:c>
      <x:c r="I85" s="4" t="str">
        <x:v>Not shown</x:v>
      </x:c>
      <x:c r="J85" s="6"/>
      <x:c r="K85" s="5" t="str">
        <x:v>This Strategy has quality Large &amp; Mid Cap Stocks with high Sales &amp; Profit growth and low valuation.</x:v>
      </x:c>
      <x:c r="L85" s="5" t="str">
        <x:v>No sector tags assigned; see description</x:v>
      </x:c>
      <x:c r="M85" s="7" t="d">
        <x:v>2026-08-24T00:00:00.000Z</x:v>
      </x:c>
      <x:c r="N85" s="8" t="str">
        <x:v>https://www.smallcase.com/smallcase/midcap-growth-strategy-VLSMO_0027</x:v>
      </x:c>
      <x:c r="O85" s="4" t="str">
        <x:v>VLSMO_0027</x:v>
      </x:c>
      <x:c r="P85" s="5" t="str">
        <x:v>Diversified; sector mandate not specified</x:v>
      </x:c>
    </x:row>
    <x:row r="86" ht="60" customHeight="1">
      <x:c r="A86" s="4" t="n">
        <x:v>81</x:v>
      </x:c>
      <x:c r="B86" s="5" t="str">
        <x:v>SE Sector Rotation Quant</x:v>
      </x:c>
      <x:c r="C86" s="5" t="str">
        <x:v>StockEdge</x:v>
      </x:c>
      <x:c r="D86" s="5" t="str">
        <x:v>Sector / theme rotation</x:v>
      </x:c>
      <x:c r="E86" s="5" t="str">
        <x:v>No specific industry mandate identified</x:v>
      </x:c>
      <x:c r="F86" s="5" t="str">
        <x:v>Sector / theme rotation</x:v>
      </x:c>
      <x:c r="G86" s="6" t="n">
        <x:v>91819</x:v>
      </x:c>
      <x:c r="H86" s="4" t="str">
        <x:v>Medium</x:v>
      </x:c>
      <x:c r="I86" s="4" t="str">
        <x:v>Fee based</x:v>
      </x:c>
      <x:c r="J86" s="6" t="n">
        <x:v>500</x:v>
      </x:c>
      <x:c r="K86" s="5" t="str">
        <x:v>SE Sector Rotation uses a quantitative framework to identify and capture emerging sector trends</x:v>
      </x:c>
      <x:c r="L86" s="5" t="str">
        <x:v>No sector tags assigned; see description</x:v>
      </x:c>
      <x:c r="M86" s="7" t="d">
        <x:v>2026-07-29T00:00:00.000Z</x:v>
      </x:c>
      <x:c r="N86" s="8" t="str">
        <x:v>https://www.smallcase.com/smallcase/se-sector-rotation-theme-SEPKNM_0002</x:v>
      </x:c>
      <x:c r="O86" s="4" t="str">
        <x:v>SEPKNM_0002</x:v>
      </x:c>
      <x:c r="P86" s="5" t="str">
        <x:v>Sector / theme rotation</x:v>
      </x:c>
    </x:row>
    <x:row r="87" ht="60" customHeight="1">
      <x:c r="A87" s="4" t="n">
        <x:v>82</x:v>
      </x:c>
      <x:c r="B87" s="5" t="str">
        <x:v>FMCG Tracker</x:v>
      </x:c>
      <x:c r="C87" s="5" t="str">
        <x:v>Windmill Capital</x:v>
      </x:c>
      <x:c r="D87" s="5" t="str">
        <x:v>Sector / industry theme</x:v>
      </x:c>
      <x:c r="E87" s="5" t="str">
        <x:v>Consumer, FMCG &amp; durables</x:v>
      </x:c>
      <x:c r="F87" s="5" t="str">
        <x:v>Other / not specified</x:v>
      </x:c>
      <x:c r="G87" s="6" t="n">
        <x:v>42718</x:v>
      </x:c>
      <x:c r="H87" s="4" t="str">
        <x:v>Medium</x:v>
      </x:c>
      <x:c r="I87" s="4" t="str">
        <x:v>Free access</x:v>
      </x:c>
      <x:c r="J87" s="6"/>
      <x:c r="K87" s="5" t="str">
        <x:v>Companies to efficiently track and invest in the FMCG sector</x:v>
      </x:c>
      <x:c r="L87" s="5" t="str">
        <x:v>Title and listing description</x:v>
      </x:c>
      <x:c r="M87" s="7" t="d">
        <x:v>2026-09-17T00:00:00.000Z</x:v>
      </x:c>
      <x:c r="N87" s="8" t="str">
        <x:v>https://www.smallcase.com/smallcase/fmcg-tracker-SCTR_0004</x:v>
      </x:c>
      <x:c r="O87" s="4" t="str">
        <x:v>SCTR_0004</x:v>
      </x:c>
      <x:c r="P87" s="5" t="str"/>
    </x:row>
    <x:row r="88" ht="60" customHeight="1">
      <x:c r="A88" s="4" t="n">
        <x:v>83</x:v>
      </x:c>
      <x:c r="B88" s="5" t="str">
        <x:v>Private Equity Investing Theme</x:v>
      </x:c>
      <x:c r="C88" s="5" t="str">
        <x:v>Windmill Capital</x:v>
      </x:c>
      <x:c r="D88" s="5" t="str">
        <x:v>Event / ownership / listing theme</x:v>
      </x:c>
      <x:c r="E88" s="5" t="str">
        <x:v>No specific industry mandate identified</x:v>
      </x:c>
      <x:c r="F88" s="5" t="str">
        <x:v>Other / not specified</x:v>
      </x:c>
      <x:c r="G88" s="6" t="n">
        <x:v>54656</x:v>
      </x:c>
      <x:c r="H88" s="4" t="str">
        <x:v>High</x:v>
      </x:c>
      <x:c r="I88" s="4" t="str">
        <x:v>Free access</x:v>
      </x:c>
      <x:c r="J88" s="6"/>
      <x:c r="K88" s="5" t="str">
        <x:v>Companies in which PE and VC firms have high shareholding</x:v>
      </x:c>
      <x:c r="L88" s="5" t="str">
        <x:v>No sector tags assigned; see description</x:v>
      </x:c>
      <x:c r="M88" s="7" t="d">
        <x:v>2026-06-17T00:00:00.000Z</x:v>
      </x:c>
      <x:c r="N88" s="8" t="str">
        <x:v>https://www.smallcase.com/smallcase/the-pe-list-SCMO_0024</x:v>
      </x:c>
      <x:c r="O88" s="4" t="str">
        <x:v>SCMO_0024</x:v>
      </x:c>
      <x:c r="P88" s="5" t="str">
        <x:v>Event / ownership / listing theme</x:v>
      </x:c>
    </x:row>
    <x:row r="89" ht="60" customHeight="1">
      <x:c r="A89" s="4" t="n">
        <x:v>84</x:v>
      </x:c>
      <x:c r="B89" s="5" t="str">
        <x:v>Horizon 2045 Target Date</x:v>
      </x:c>
      <x:c r="C89" s="5" t="str">
        <x:v>Windmill Capital</x:v>
      </x:c>
      <x:c r="D89" s="5" t="str">
        <x:v>Asset allocation / target date</x:v>
      </x:c>
      <x:c r="E89" s="5" t="str">
        <x:v>No specific industry mandate identified</x:v>
      </x:c>
      <x:c r="F89" s="5" t="str">
        <x:v>Asset allocation</x:v>
      </x:c>
      <x:c r="G89" s="6" t="n">
        <x:v>3811</x:v>
      </x:c>
      <x:c r="H89" s="4" t="str">
        <x:v>Low</x:v>
      </x:c>
      <x:c r="I89" s="4" t="str">
        <x:v>Fee based</x:v>
      </x:c>
      <x:c r="J89" s="6" t="n">
        <x:v>116</x:v>
      </x:c>
      <x:c r="K89" s="5" t="str">
        <x:v>Multi-asset portfolio optimizing investment value in 2045, for goals like retirement and education</x:v>
      </x:c>
      <x:c r="L89" s="5" t="str">
        <x:v>No sector tags assigned; see description</x:v>
      </x:c>
      <x:c r="M89" s="7" t="d">
        <x:v>2026-01-06T00:00:00.000Z</x:v>
      </x:c>
      <x:c r="N89" s="8" t="str">
        <x:v>https://www.smallcase.com/smallcase/retirement-2045-SCET_0019</x:v>
      </x:c>
      <x:c r="O89" s="4" t="str">
        <x:v>SCET_0019</x:v>
      </x:c>
      <x:c r="P89" s="5" t="str">
        <x:v>Asset allocation / target date</x:v>
      </x:c>
    </x:row>
    <x:row r="90" ht="60" customHeight="1">
      <x:c r="A90" s="4" t="n">
        <x:v>85</x:v>
      </x:c>
      <x:c r="B90" s="5" t="str">
        <x:v>Festive Forge Theme</x:v>
      </x:c>
      <x:c r="C90" s="5" t="str">
        <x:v>StoxBazar</x:v>
      </x:c>
      <x:c r="D90" s="5" t="str">
        <x:v>Diversified / strategy</x:v>
      </x:c>
      <x:c r="E90" s="5" t="str">
        <x:v>No specific industry mandate identified</x:v>
      </x:c>
      <x:c r="F90" s="5" t="str">
        <x:v>Other / not specified</x:v>
      </x:c>
      <x:c r="G90" s="6" t="n">
        <x:v>7785</x:v>
      </x:c>
      <x:c r="H90" s="4" t="str">
        <x:v>Medium</x:v>
      </x:c>
      <x:c r="I90" s="4" t="str">
        <x:v>Free access</x:v>
      </x:c>
      <x:c r="J90" s="6"/>
      <x:c r="K90" s="5" t="str">
        <x:v>A Samvat-themed smallcase is a curated portfolio of stocks &amp; ETFs designed around the Vikram Samvat.</x:v>
      </x:c>
      <x:c r="L90" s="5" t="str">
        <x:v>No sector tags assigned; see description</x:v>
      </x:c>
      <x:c r="M90" s="7"/>
      <x:c r="N90" s="8" t="str">
        <x:v>https://www.smallcase.com/smallcase/festive-forge-theme-STBANM_0005</x:v>
      </x:c>
      <x:c r="O90" s="4" t="str">
        <x:v>STBANM_0005</x:v>
      </x:c>
      <x:c r="P90" s="5" t="str">
        <x:v>Diversified; sector mandate not specified</x:v>
      </x:c>
    </x:row>
    <x:row r="91" ht="60" customHeight="1">
      <x:c r="A91" s="4" t="n">
        <x:v>86</x:v>
      </x:c>
      <x:c r="B91" s="5" t="str">
        <x:v>Infra Tracker</x:v>
      </x:c>
      <x:c r="C91" s="5" t="str">
        <x:v>Windmill Capital</x:v>
      </x:c>
      <x:c r="D91" s="5" t="str">
        <x:v>Sector / industry theme</x:v>
      </x:c>
      <x:c r="E91" s="5" t="str">
        <x:v>Infrastructure &amp; construction</x:v>
      </x:c>
      <x:c r="F91" s="5" t="str">
        <x:v>Other / not specified</x:v>
      </x:c>
      <x:c r="G91" s="6" t="n">
        <x:v>150167</x:v>
      </x:c>
      <x:c r="H91" s="4" t="str">
        <x:v>High</x:v>
      </x:c>
      <x:c r="I91" s="4" t="str">
        <x:v>Free access</x:v>
      </x:c>
      <x:c r="J91" s="6"/>
      <x:c r="K91" s="5" t="str">
        <x:v>Companies to efficiently track and invest in the infrastructure sector</x:v>
      </x:c>
      <x:c r="L91" s="5" t="str">
        <x:v>Title and listing description</x:v>
      </x:c>
      <x:c r="M91" s="7" t="d">
        <x:v>2026-09-18T00:00:00.000Z</x:v>
      </x:c>
      <x:c r="N91" s="8" t="str">
        <x:v>https://www.smallcase.com/smallcase/infra-tracker-SCTR_0005</x:v>
      </x:c>
      <x:c r="O91" s="4" t="str">
        <x:v>SCTR_0005</x:v>
      </x:c>
      <x:c r="P91" s="5" t="str"/>
    </x:row>
    <x:row r="92" ht="60" customHeight="1">
      <x:c r="A92" s="4" t="n">
        <x:v>87</x:v>
      </x:c>
      <x:c r="B92" s="5" t="str">
        <x:v>Railways &amp; Defence Tracker</x:v>
      </x:c>
      <x:c r="C92" s="5" t="str">
        <x:v>Agility Advisors</x:v>
      </x:c>
      <x:c r="D92" s="5" t="str">
        <x:v>Sector / industry theme</x:v>
      </x:c>
      <x:c r="E92" s="5" t="str">
        <x:v>Defence &amp; aerospace; Railways</x:v>
      </x:c>
      <x:c r="F92" s="5" t="str">
        <x:v>Fundamental / growth / quality</x:v>
      </x:c>
      <x:c r="G92" s="6" t="n">
        <x:v>182404</x:v>
      </x:c>
      <x:c r="H92" s="4" t="str">
        <x:v>High</x:v>
      </x:c>
      <x:c r="I92" s="4" t="str">
        <x:v>Fee based</x:v>
      </x:c>
      <x:c r="J92" s="6" t="n">
        <x:v>1573</x:v>
      </x:c>
      <x:c r="K92" s="5" t="str">
        <x:v>A Portfolio of high growth stocks benefitted by increase in Govt. spend towards Railways &amp; Defence</x:v>
      </x:c>
      <x:c r="L92" s="5" t="str">
        <x:v>Title and listing description</x:v>
      </x:c>
      <x:c r="M92" s="7" t="d">
        <x:v>2026-10-09T00:00:00.000Z</x:v>
      </x:c>
      <x:c r="N92" s="8" t="str">
        <x:v>https://www.smallcase.com/smallcase/yj-railways-and-defence-YEJMO_0004</x:v>
      </x:c>
      <x:c r="O92" s="4" t="str">
        <x:v>YEJMO_0004</x:v>
      </x:c>
      <x:c r="P92" s="5" t="str"/>
    </x:row>
    <x:row r="93" ht="60" customHeight="1">
      <x:c r="A93" s="4" t="n">
        <x:v>88</x:v>
      </x:c>
      <x:c r="B93" s="5" t="str">
        <x:v>Microcap Quant</x:v>
      </x:c>
      <x:c r="C93" s="5" t="str">
        <x:v>Quantace Research</x:v>
      </x:c>
      <x:c r="D93" s="5" t="str">
        <x:v>Diversified / strategy</x:v>
      </x:c>
      <x:c r="E93" s="5" t="str">
        <x:v>No specific industry mandate identified</x:v>
      </x:c>
      <x:c r="F93" s="5" t="str">
        <x:v>Quant / factor</x:v>
      </x:c>
      <x:c r="G93" s="6" t="n">
        <x:v>47517</x:v>
      </x:c>
      <x:c r="H93" s="4" t="str">
        <x:v>High</x:v>
      </x:c>
      <x:c r="I93" s="4" t="str">
        <x:v>Fee based</x:v>
      </x:c>
      <x:c r="J93" s="6" t="n">
        <x:v>700</x:v>
      </x:c>
      <x:c r="K93" s="5" t="str">
        <x:v>Discover Tomorrow's Superstars</x:v>
      </x:c>
      <x:c r="L93" s="5" t="str">
        <x:v>No sector tags assigned; see description</x:v>
      </x:c>
      <x:c r="M93" s="7" t="d">
        <x:v>2026-10-26T00:00:00.000Z</x:v>
      </x:c>
      <x:c r="N93" s="8" t="str">
        <x:v>https://www.smallcase.com/smallcase/quantace-microcap-QUREMO_0036</x:v>
      </x:c>
      <x:c r="O93" s="4" t="str">
        <x:v>QUREMO_0036</x:v>
      </x:c>
      <x:c r="P93" s="5" t="str">
        <x:v>Diversified; sector mandate not specified</x:v>
      </x:c>
    </x:row>
    <x:row r="94" ht="60" customHeight="1">
      <x:c r="A94" s="4" t="n">
        <x:v>89</x:v>
      </x:c>
      <x:c r="B94" s="5" t="str">
        <x:v>Emerging Leaders Model</x:v>
      </x:c>
      <x:c r="C94" s="5" t="str">
        <x:v>Legacis Capital</x:v>
      </x:c>
      <x:c r="D94" s="5" t="str">
        <x:v>Diversified / strategy</x:v>
      </x:c>
      <x:c r="E94" s="5" t="str">
        <x:v>No specific industry mandate identified</x:v>
      </x:c>
      <x:c r="F94" s="5" t="str">
        <x:v>Fundamental / growth / quality</x:v>
      </x:c>
      <x:c r="G94" s="6" t="n">
        <x:v>117488</x:v>
      </x:c>
      <x:c r="H94" s="4" t="str">
        <x:v>High</x:v>
      </x:c>
      <x:c r="I94" s="4" t="str">
        <x:v>Fee based</x:v>
      </x:c>
      <x:c r="J94" s="6" t="n">
        <x:v>1524</x:v>
      </x:c>
      <x:c r="K94" s="5" t="str">
        <x:v>Category-defining companies with pricing power, high entry barriers, and long runways for compoundin</x:v>
      </x:c>
      <x:c r="L94" s="5" t="str">
        <x:v>No sector tags assigned; see description</x:v>
      </x:c>
      <x:c r="M94" s="7" t="d">
        <x:v>2026-10-23T00:00:00.000Z</x:v>
      </x:c>
      <x:c r="N94" s="8" t="str">
        <x:v>https://www.smallcase.com/smallcase/legacis-emerging-leaders-model-SAWEMX_0005</x:v>
      </x:c>
      <x:c r="O94" s="4" t="str">
        <x:v>SAWEMX_0005</x:v>
      </x:c>
      <x:c r="P94" s="5" t="str">
        <x:v>Diversified; sector mandate not specified</x:v>
      </x:c>
    </x:row>
    <x:row r="95" ht="60" customHeight="1">
      <x:c r="A95" s="4" t="n">
        <x:v>90</x:v>
      </x:c>
      <x:c r="B95" s="5" t="str">
        <x:v>Bringing the Bling Theme</x:v>
      </x:c>
      <x:c r="C95" s="5" t="str">
        <x:v>Windmill Capital</x:v>
      </x:c>
      <x:c r="D95" s="5" t="str">
        <x:v>Sector / industry theme</x:v>
      </x:c>
      <x:c r="E95" s="5" t="str">
        <x:v>Consumer, FMCG &amp; durables</x:v>
      </x:c>
      <x:c r="F95" s="5" t="str">
        <x:v>Other / not specified</x:v>
      </x:c>
      <x:c r="G95" s="6" t="n">
        <x:v>48481</x:v>
      </x:c>
      <x:c r="H95" s="4" t="str">
        <x:v>High</x:v>
      </x:c>
      <x:c r="I95" s="4" t="str">
        <x:v>Free access</x:v>
      </x:c>
      <x:c r="J95" s="6"/>
      <x:c r="K95" s="5" t="str">
        <x:v>This smallcase comprises companies that are catering to India’s increasing affinity for luxury goods and services.</x:v>
      </x:c>
      <x:c r="L95" s="5" t="str">
        <x:v>Title and listing description</x:v>
      </x:c>
      <x:c r="M95" s="7" t="d">
        <x:v>2026-09-17T00:00:00.000Z</x:v>
      </x:c>
      <x:c r="N95" s="8" t="str">
        <x:v>https://www.smallcase.com/smallcase/bringing-the-bling-SCNM_0015</x:v>
      </x:c>
      <x:c r="O95" s="4" t="str">
        <x:v>SCNM_0015</x:v>
      </x:c>
      <x:c r="P95" s="5" t="str"/>
    </x:row>
    <x:row r="96" ht="60" customHeight="1">
      <x:c r="A96" s="4" t="n">
        <x:v>91</x:v>
      </x:c>
      <x:c r="B96" s="5" t="str">
        <x:v>Caprize Earnings Momentum Portfolio Fundamental</x:v>
      </x:c>
      <x:c r="C96" s="5" t="str">
        <x:v>CAPRIZE INVESTMENT MANAGERS PRIVATE LIMITED</x:v>
      </x:c>
      <x:c r="D96" s="5" t="str">
        <x:v>Diversified / strategy</x:v>
      </x:c>
      <x:c r="E96" s="5" t="str">
        <x:v>No specific industry mandate identified</x:v>
      </x:c>
      <x:c r="F96" s="5" t="str">
        <x:v>Momentum / trend</x:v>
      </x:c>
      <x:c r="G96" s="6" t="n">
        <x:v>190855</x:v>
      </x:c>
      <x:c r="H96" s="4" t="str">
        <x:v>High</x:v>
      </x:c>
      <x:c r="I96" s="4" t="str">
        <x:v>Fee based</x:v>
      </x:c>
      <x:c r="J96" s="6" t="n">
        <x:v>589</x:v>
      </x:c>
      <x:c r="K96" s="5" t="str">
        <x:v>Strategy designed to profit from key market or company specific trends based on quarterly earnings</x:v>
      </x:c>
      <x:c r="L96" s="5" t="str">
        <x:v>No sector tags assigned; see description</x:v>
      </x:c>
      <x:c r="M96" s="7" t="d">
        <x:v>2026-10-15T00:00:00.000Z</x:v>
      </x:c>
      <x:c r="N96" s="8" t="str">
        <x:v>https://www.smallcase.com/smallcase/caprize-earnings-momentum-portfolio-CAPIMO_0001</x:v>
      </x:c>
      <x:c r="O96" s="4" t="str">
        <x:v>CAPIMO_0001</x:v>
      </x:c>
      <x:c r="P96" s="5" t="str">
        <x:v>Diversified; sector mandate not specified</x:v>
      </x:c>
    </x:row>
    <x:row r="97" ht="60" customHeight="1">
      <x:c r="A97" s="4" t="n">
        <x:v>92</x:v>
      </x:c>
      <x:c r="B97" s="5" t="str">
        <x:v>CWA Defence Theme</x:v>
      </x:c>
      <x:c r="C97" s="5" t="str">
        <x:v>Compounding Wealth Advisors</x:v>
      </x:c>
      <x:c r="D97" s="5" t="str">
        <x:v>Sector / industry theme</x:v>
      </x:c>
      <x:c r="E97" s="5" t="str">
        <x:v>Defence &amp; aerospace</x:v>
      </x:c>
      <x:c r="F97" s="5" t="str">
        <x:v>Other / not specified</x:v>
      </x:c>
      <x:c r="G97" s="6" t="n">
        <x:v>84404</x:v>
      </x:c>
      <x:c r="H97" s="4" t="str">
        <x:v>High</x:v>
      </x:c>
      <x:c r="I97" s="4" t="str">
        <x:v>Fee based</x:v>
      </x:c>
      <x:c r="J97" s="6" t="n">
        <x:v>983</x:v>
      </x:c>
      <x:c r="K97" s="5" t="str">
        <x:v>Systematic Investing in trending and outperforming stocks from the Defence Space. Rcmd amt:5-15 lacs</x:v>
      </x:c>
      <x:c r="L97" s="5" t="str">
        <x:v>Title and listing description</x:v>
      </x:c>
      <x:c r="M97" s="7" t="d">
        <x:v>2026-10-26T00:00:00.000Z</x:v>
      </x:c>
      <x:c r="N97" s="8" t="str">
        <x:v>https://www.smallcase.com/smallcase/cwa-defence-COWANM_0003</x:v>
      </x:c>
      <x:c r="O97" s="4" t="str">
        <x:v>COWANM_0003</x:v>
      </x:c>
      <x:c r="P97" s="5" t="str"/>
    </x:row>
    <x:row r="98" ht="60" customHeight="1">
      <x:c r="A98" s="4" t="n">
        <x:v>93</x:v>
      </x:c>
      <x:c r="B98" s="5" t="str">
        <x:v>Lotusdew Super Concentrated Fundamental</x:v>
      </x:c>
      <x:c r="C98" s="5" t="str">
        <x:v>Lotusdew Wealth</x:v>
      </x:c>
      <x:c r="D98" s="5" t="str">
        <x:v>Diversified / strategy</x:v>
      </x:c>
      <x:c r="E98" s="5" t="str">
        <x:v>No specific industry mandate identified</x:v>
      </x:c>
      <x:c r="F98" s="5" t="str">
        <x:v>Momentum / trend</x:v>
      </x:c>
      <x:c r="G98" s="6" t="n">
        <x:v>50000</x:v>
      </x:c>
      <x:c r="H98" s="4" t="str">
        <x:v>High</x:v>
      </x:c>
      <x:c r="I98" s="4" t="str">
        <x:v>Fee based</x:v>
      </x:c>
      <x:c r="J98" s="6" t="n">
        <x:v>1248</x:v>
      </x:c>
      <x:c r="K98" s="5" t="str">
        <x:v>Concentrated basket of fundamentally strong, high momentum stocks with downside resilience.</x:v>
      </x:c>
      <x:c r="L98" s="5" t="str">
        <x:v>No sector tags assigned; see description</x:v>
      </x:c>
      <x:c r="M98" s="7" t="d">
        <x:v>2026-08-05T00:00:00.000Z</x:v>
      </x:c>
      <x:c r="N98" s="8" t="str">
        <x:v>https://www.smallcase.com/smallcase/lotusdew-super-concentrated-fundamental-LTDFMM_0001</x:v>
      </x:c>
      <x:c r="O98" s="4" t="str">
        <x:v>LTDFMM_0001</x:v>
      </x:c>
      <x:c r="P98" s="5" t="str">
        <x:v>Diversified; sector mandate not specified</x:v>
      </x:c>
    </x:row>
    <x:row r="99" ht="60" customHeight="1">
      <x:c r="A99" s="4" t="n">
        <x:v>94</x:v>
      </x:c>
      <x:c r="B99" s="5" t="str">
        <x:v>Digital Inclusion Theme</x:v>
      </x:c>
      <x:c r="C99" s="5" t="str">
        <x:v>Windmill Capital</x:v>
      </x:c>
      <x:c r="D99" s="5" t="str">
        <x:v>Sector / industry theme</x:v>
      </x:c>
      <x:c r="E99" s="5" t="str">
        <x:v>IT, software &amp; digital platforms</x:v>
      </x:c>
      <x:c r="F99" s="5" t="str">
        <x:v>Other / not specified</x:v>
      </x:c>
      <x:c r="G99" s="6" t="n">
        <x:v>56563</x:v>
      </x:c>
      <x:c r="H99" s="4" t="str">
        <x:v>High</x:v>
      </x:c>
      <x:c r="I99" s="4" t="str">
        <x:v>Free access</x:v>
      </x:c>
      <x:c r="J99" s="6"/>
      <x:c r="K99" s="5" t="str">
        <x:v>Companies spearheading and benefitting from the digital revolution in India</x:v>
      </x:c>
      <x:c r="L99" s="5" t="str">
        <x:v>Title and listing description</x:v>
      </x:c>
      <x:c r="M99" s="7" t="d">
        <x:v>2026-09-17T00:00:00.000Z</x:v>
      </x:c>
      <x:c r="N99" s="8" t="str">
        <x:v>https://www.smallcase.com/smallcase/digital-inclusion-SCNM_0014</x:v>
      </x:c>
      <x:c r="O99" s="4" t="str">
        <x:v>SCNM_0014</x:v>
      </x:c>
      <x:c r="P99" s="5" t="str"/>
    </x:row>
    <x:row r="100" ht="60" customHeight="1">
      <x:c r="A100" s="4" t="n">
        <x:v>95</x:v>
      </x:c>
      <x:c r="B100" s="5" t="str">
        <x:v>Mi EverGreen Momentum Model</x:v>
      </x:c>
      <x:c r="C100" s="5" t="str">
        <x:v>Weekend Investing</x:v>
      </x:c>
      <x:c r="D100" s="5" t="str">
        <x:v>Asset allocation / target date</x:v>
      </x:c>
      <x:c r="E100" s="5" t="str">
        <x:v>No specific industry mandate identified</x:v>
      </x:c>
      <x:c r="F100" s="5" t="str">
        <x:v>Asset allocation</x:v>
      </x:c>
      <x:c r="G100" s="6" t="n">
        <x:v>247270</x:v>
      </x:c>
      <x:c r="H100" s="4" t="str">
        <x:v>High</x:v>
      </x:c>
      <x:c r="I100" s="4" t="str">
        <x:v>Fee based</x:v>
      </x:c>
      <x:c r="J100" s="6" t="n">
        <x:v>1249</x:v>
      </x:c>
      <x:c r="K100" s="5" t="str">
        <x:v>Power of Gold with Equity | Allocate 20 strongest CNX200 stocks with Gold ETF | Monthly Rebalanced</x:v>
      </x:c>
      <x:c r="L100" s="5" t="str">
        <x:v>No sector tags assigned; see description</x:v>
      </x:c>
      <x:c r="M100" s="7" t="d">
        <x:v>2026-10-26T00:00:00.000Z</x:v>
      </x:c>
      <x:c r="N100" s="8" t="str">
        <x:v>https://www.smallcase.com/smallcase/mi-evergreen-WKIMO_0019</x:v>
      </x:c>
      <x:c r="O100" s="4" t="str">
        <x:v>WKIMO_0019</x:v>
      </x:c>
      <x:c r="P100" s="5" t="str">
        <x:v>Asset allocation / target date</x:v>
      </x:c>
    </x:row>
    <x:row r="101" ht="60" customHeight="1">
      <x:c r="A101" s="4" t="n">
        <x:v>96</x:v>
      </x:c>
      <x:c r="B101" s="5" t="str">
        <x:v>Stockwiz Swing Fund Quant</x:v>
      </x:c>
      <x:c r="C101" s="5" t="str">
        <x:v>STOCKWIZ TECHNOLOGIES LLP</x:v>
      </x:c>
      <x:c r="D101" s="5" t="str">
        <x:v>Diversified / strategy</x:v>
      </x:c>
      <x:c r="E101" s="5" t="str">
        <x:v>No specific industry mandate identified</x:v>
      </x:c>
      <x:c r="F101" s="5" t="str">
        <x:v>Quant / factor</x:v>
      </x:c>
      <x:c r="G101" s="6" t="n">
        <x:v>19442</x:v>
      </x:c>
      <x:c r="H101" s="4" t="str">
        <x:v>High</x:v>
      </x:c>
      <x:c r="I101" s="4" t="str">
        <x:v>Fee based</x:v>
      </x:c>
      <x:c r="J101" s="6" t="n">
        <x:v>629</x:v>
      </x:c>
      <x:c r="K101" s="5" t="str">
        <x:v>This portfolio focuses on investing in the best technically sound stocks for a short term duration.</x:v>
      </x:c>
      <x:c r="L101" s="5" t="str">
        <x:v>No sector tags assigned; see description</x:v>
      </x:c>
      <x:c r="M101" s="7" t="d">
        <x:v>2026-10-22T00:00:00.000Z</x:v>
      </x:c>
      <x:c r="N101" s="8" t="str">
        <x:v>https://www.smallcase.com/smallcase/stockwiz-swing-fund-model-SWTEMX_0004</x:v>
      </x:c>
      <x:c r="O101" s="4" t="str">
        <x:v>SWTEMX_0004</x:v>
      </x:c>
      <x:c r="P101" s="5" t="str">
        <x:v>Diversified; sector mandate not specified</x:v>
      </x:c>
    </x:row>
    <x:row r="102" ht="60" customHeight="1">
      <x:c r="A102" s="4" t="n">
        <x:v>97</x:v>
      </x:c>
      <x:c r="B102" s="5" t="str">
        <x:v>Defence Picks Theme</x:v>
      </x:c>
      <x:c r="C102" s="5" t="str">
        <x:v>Windmill Capital</x:v>
      </x:c>
      <x:c r="D102" s="5" t="str">
        <x:v>Sector / industry theme</x:v>
      </x:c>
      <x:c r="E102" s="5" t="str">
        <x:v>Defence &amp; aerospace</x:v>
      </x:c>
      <x:c r="F102" s="5" t="str">
        <x:v>Other / not specified</x:v>
      </x:c>
      <x:c r="G102" s="6" t="n">
        <x:v>35304</x:v>
      </x:c>
      <x:c r="H102" s="4" t="str">
        <x:v>High</x:v>
      </x:c>
      <x:c r="I102" s="4" t="str">
        <x:v>Fee based</x:v>
      </x:c>
      <x:c r="J102" s="6" t="n">
        <x:v>545</x:v>
      </x:c>
      <x:c r="K102" s="5" t="str">
        <x:v>Companies positioned to gain from India’s strategic focus on defence sector</x:v>
      </x:c>
      <x:c r="L102" s="5" t="str">
        <x:v>Title and listing description</x:v>
      </x:c>
      <x:c r="M102" s="7" t="d">
        <x:v>2026-10-06T00:00:00.000Z</x:v>
      </x:c>
      <x:c r="N102" s="8" t="str">
        <x:v>https://www.smallcase.com/smallcase/defence-picks-ai-model-SCMX_0002</x:v>
      </x:c>
      <x:c r="O102" s="4" t="str">
        <x:v>SCMX_0002</x:v>
      </x:c>
      <x:c r="P102" s="5" t="str"/>
    </x:row>
    <x:row r="103" ht="60" customHeight="1">
      <x:c r="A103" s="4" t="n">
        <x:v>98</x:v>
      </x:c>
      <x:c r="B103" s="5" t="str">
        <x:v>Divitiae Healthcare Compounders Tracker</x:v>
      </x:c>
      <x:c r="C103" s="5" t="str">
        <x:v>Divitiae Investments</x:v>
      </x:c>
      <x:c r="D103" s="5" t="str">
        <x:v>Sector / industry theme</x:v>
      </x:c>
      <x:c r="E103" s="5" t="str">
        <x:v>Pharma &amp; healthcare</x:v>
      </x:c>
      <x:c r="F103" s="5" t="str">
        <x:v>Fundamental / growth / quality</x:v>
      </x:c>
      <x:c r="G103" s="6" t="n">
        <x:v>75255</x:v>
      </x:c>
      <x:c r="H103" s="4" t="str">
        <x:v>High</x:v>
      </x:c>
      <x:c r="I103" s="4" t="str">
        <x:v>Fee based</x:v>
      </x:c>
      <x:c r="J103" s="6" t="n">
        <x:v>833</x:v>
      </x:c>
      <x:c r="K103" s="5" t="str">
        <x:v>Given uncertainty from geopolitical situation &amp; AI disruption, Pharma &amp; Healthcare is at sweet spot.</x:v>
      </x:c>
      <x:c r="L103" s="5" t="str">
        <x:v>Title and listing description</x:v>
      </x:c>
      <x:c r="M103" s="7" t="d">
        <x:v>2026-10-28T00:00:00.000Z</x:v>
      </x:c>
      <x:c r="N103" s="8" t="str">
        <x:v>https://www.smallcase.com/smallcase/divitiae-healthcare-compounders-theme-DIANNM_0002</x:v>
      </x:c>
      <x:c r="O103" s="4" t="str">
        <x:v>DIANNM_0002</x:v>
      </x:c>
      <x:c r="P103" s="5" t="str"/>
    </x:row>
    <x:row r="104" ht="60" customHeight="1">
      <x:c r="A104" s="4" t="n">
        <x:v>99</x:v>
      </x:c>
      <x:c r="B104" s="5" t="str">
        <x:v>EquiCore Model</x:v>
      </x:c>
      <x:c r="C104" s="5" t="str">
        <x:v>Mirae Asset</x:v>
      </x:c>
      <x:c r="D104" s="5" t="str">
        <x:v>Diversified / strategy</x:v>
      </x:c>
      <x:c r="E104" s="5" t="str">
        <x:v>No specific industry mandate identified</x:v>
      </x:c>
      <x:c r="F104" s="5" t="str">
        <x:v>Other / not specified</x:v>
      </x:c>
      <x:c r="G104" s="6" t="n">
        <x:v>2221</x:v>
      </x:c>
      <x:c r="H104" s="4" t="str">
        <x:v>High</x:v>
      </x:c>
      <x:c r="I104" s="4" t="str">
        <x:v>Free access</x:v>
      </x:c>
      <x:c r="J104" s="6"/>
      <x:c r="K104" s="5" t="str">
        <x:v>Simple. Diversified. Core.</x:v>
      </x:c>
      <x:c r="L104" s="5" t="str">
        <x:v>No sector tags assigned; see description</x:v>
      </x:c>
      <x:c r="M104" s="7"/>
      <x:c r="N104" s="8" t="str">
        <x:v>https://www.smallcase.com/smallcase/equicore-model-MIMOMX_0006</x:v>
      </x:c>
      <x:c r="O104" s="4" t="str">
        <x:v>MIMOMX_0006</x:v>
      </x:c>
      <x:c r="P104" s="5" t="str">
        <x:v>Diversified; sector mandate not specified</x:v>
      </x:c>
    </x:row>
    <x:row r="105" ht="60" customHeight="1">
      <x:c r="A105" s="4" t="n">
        <x:v>100</x:v>
      </x:c>
      <x:c r="B105" s="5" t="str">
        <x:v>ViniyogIndia Multifactor Value Model</x:v>
      </x:c>
      <x:c r="C105" s="5" t="str">
        <x:v>ViniyogIndia</x:v>
      </x:c>
      <x:c r="D105" s="5" t="str">
        <x:v>Diversified / strategy</x:v>
      </x:c>
      <x:c r="E105" s="5" t="str">
        <x:v>No specific industry mandate identified</x:v>
      </x:c>
      <x:c r="F105" s="5" t="str">
        <x:v>Value / contrarian</x:v>
      </x:c>
      <x:c r="G105" s="6" t="n">
        <x:v>84476</x:v>
      </x:c>
      <x:c r="H105" s="4" t="str">
        <x:v>High</x:v>
      </x:c>
      <x:c r="I105" s="4" t="str">
        <x:v>Fee based</x:v>
      </x:c>
      <x:c r="J105" s="6" t="n">
        <x:v>666</x:v>
      </x:c>
      <x:c r="K105" s="5" t="str">
        <x:v>Undervalued but fundamentally strong businesses picking up investor interest.</x:v>
      </x:c>
      <x:c r="L105" s="5" t="str">
        <x:v>No sector tags assigned; see description</x:v>
      </x:c>
      <x:c r="M105" s="7" t="d">
        <x:v>2026-09-21T00:00:00.000Z</x:v>
      </x:c>
      <x:c r="N105" s="8" t="str">
        <x:v>https://www.smallcase.com/smallcase/viniyogindia-value-VIYIMO_0005</x:v>
      </x:c>
      <x:c r="O105" s="4" t="str">
        <x:v>VIYIMO_0005</x:v>
      </x:c>
      <x:c r="P105" s="5" t="str">
        <x:v>Diversified; sector mandate not specified</x:v>
      </x:c>
    </x:row>
    <x:row r="106" ht="60" customHeight="1">
      <x:c r="A106" s="4" t="n">
        <x:v>101</x:v>
      </x:c>
      <x:c r="B106" s="5" t="str">
        <x:v>Bull &amp; Bullion Model</x:v>
      </x:c>
      <x:c r="C106" s="5" t="str">
        <x:v>Mirae Asset</x:v>
      </x:c>
      <x:c r="D106" s="5" t="str">
        <x:v>Asset allocation / target date</x:v>
      </x:c>
      <x:c r="E106" s="5" t="str">
        <x:v>No specific industry mandate identified</x:v>
      </x:c>
      <x:c r="F106" s="5" t="str">
        <x:v>Asset allocation</x:v>
      </x:c>
      <x:c r="G106" s="6" t="n">
        <x:v>1315</x:v>
      </x:c>
      <x:c r="H106" s="4" t="str">
        <x:v>Low</x:v>
      </x:c>
      <x:c r="I106" s="4" t="str">
        <x:v>Free access</x:v>
      </x:c>
      <x:c r="J106" s="6"/>
      <x:c r="K106" s="5" t="str">
        <x:v>Aim to Grow with Equities and Shield with Bullion</x:v>
      </x:c>
      <x:c r="L106" s="5" t="str">
        <x:v>No sector tags assigned; see description</x:v>
      </x:c>
      <x:c r="M106" s="7"/>
      <x:c r="N106" s="8" t="str">
        <x:v>https://www.smallcase.com/smallcase/bull-and-bullion-model-MIMOMX_0008</x:v>
      </x:c>
      <x:c r="O106" s="4" t="str">
        <x:v>MIMOMX_0008</x:v>
      </x:c>
      <x:c r="P106" s="5" t="str">
        <x:v>Asset allocation / target date</x:v>
      </x:c>
    </x:row>
    <x:row r="107" ht="60" customHeight="1">
      <x:c r="A107" s="4" t="n">
        <x:v>102</x:v>
      </x:c>
      <x:c r="B107" s="5" t="str">
        <x:v>Transporting India Theme</x:v>
      </x:c>
      <x:c r="C107" s="5" t="str">
        <x:v>Windmill Capital</x:v>
      </x:c>
      <x:c r="D107" s="5" t="str">
        <x:v>Sector / industry theme</x:v>
      </x:c>
      <x:c r="E107" s="5" t="str">
        <x:v>Logistics, transport &amp; aviation</x:v>
      </x:c>
      <x:c r="F107" s="5" t="str">
        <x:v>Fundamental / growth / quality</x:v>
      </x:c>
      <x:c r="G107" s="6" t="n">
        <x:v>48375</x:v>
      </x:c>
      <x:c r="H107" s="4" t="str">
        <x:v>High</x:v>
      </x:c>
      <x:c r="I107" s="4" t="str">
        <x:v>Free access</x:v>
      </x:c>
      <x:c r="J107" s="6"/>
      <x:c r="K107" s="5" t="str">
        <x:v>Rapidly growing logistics companies that are fueled by GDP revival and e-commerce growth</x:v>
      </x:c>
      <x:c r="L107" s="5" t="str">
        <x:v>Title and listing description</x:v>
      </x:c>
      <x:c r="M107" s="7" t="d">
        <x:v>2026-09-17T00:00:00.000Z</x:v>
      </x:c>
      <x:c r="N107" s="8" t="str">
        <x:v>https://www.smallcase.com/smallcase/transporting-india-SCNM_0001</x:v>
      </x:c>
      <x:c r="O107" s="4" t="str">
        <x:v>SCNM_0001</x:v>
      </x:c>
      <x:c r="P107" s="5" t="str"/>
    </x:row>
    <x:row r="108" ht="60" customHeight="1">
      <x:c r="A108" s="4" t="n">
        <x:v>103</x:v>
      </x:c>
      <x:c r="B108" s="5" t="str">
        <x:v>TM Multiplier Fundamental</x:v>
      </x:c>
      <x:c r="C108" s="5" t="str">
        <x:v>Teji Mandi</x:v>
      </x:c>
      <x:c r="D108" s="5" t="str">
        <x:v>Diversified / strategy</x:v>
      </x:c>
      <x:c r="E108" s="5" t="str">
        <x:v>No specific industry mandate identified</x:v>
      </x:c>
      <x:c r="F108" s="5" t="str">
        <x:v>Fundamental / growth / quality</x:v>
      </x:c>
      <x:c r="G108" s="6" t="n">
        <x:v>58730</x:v>
      </x:c>
      <x:c r="H108" s="4" t="str">
        <x:v>High</x:v>
      </x:c>
      <x:c r="I108" s="4" t="str">
        <x:v>Fee based</x:v>
      </x:c>
      <x:c r="J108" s="6" t="n">
        <x:v>352</x:v>
      </x:c>
      <x:c r="K108" s="5" t="str">
        <x:v>Concentrated portfolio of small and midcap stocks that are likely to show non-linear growth.</x:v>
      </x:c>
      <x:c r="L108" s="5" t="str">
        <x:v>No sector tags assigned; see description</x:v>
      </x:c>
      <x:c r="M108" s="7" t="d">
        <x:v>2026-10-06T00:00:00.000Z</x:v>
      </x:c>
      <x:c r="N108" s="8" t="str">
        <x:v>https://www.smallcase.com/smallcase/multiplier-TJPMO_0003</x:v>
      </x:c>
      <x:c r="O108" s="4" t="str">
        <x:v>TJPMO_0003</x:v>
      </x:c>
      <x:c r="P108" s="5" t="str">
        <x:v>Diversified; sector mandate not specified</x:v>
      </x:c>
    </x:row>
    <x:row r="109" ht="60" customHeight="1">
      <x:c r="A109" s="4" t="n">
        <x:v>104</x:v>
      </x:c>
      <x:c r="B109" s="5" t="str">
        <x:v>Healthcare Tracker</x:v>
      </x:c>
      <x:c r="C109" s="5" t="str">
        <x:v>Windmill Capital</x:v>
      </x:c>
      <x:c r="D109" s="5" t="str">
        <x:v>Sector / industry theme</x:v>
      </x:c>
      <x:c r="E109" s="5" t="str">
        <x:v>Pharma &amp; healthcare</x:v>
      </x:c>
      <x:c r="F109" s="5" t="str">
        <x:v>Fundamental / growth / quality</x:v>
      </x:c>
      <x:c r="G109" s="6" t="n">
        <x:v>70453</x:v>
      </x:c>
      <x:c r="H109" s="4" t="str">
        <x:v>Medium</x:v>
      </x:c>
      <x:c r="I109" s="4" t="str">
        <x:v>Free access</x:v>
      </x:c>
      <x:c r="J109" s="6"/>
      <x:c r="K109" s="5" t="str">
        <x:v>Companies positioned to gain from India’s growing need for quality healthcare</x:v>
      </x:c>
      <x:c r="L109" s="5" t="str">
        <x:v>Title and listing description</x:v>
      </x:c>
      <x:c r="M109" s="7" t="d">
        <x:v>2026-09-17T00:00:00.000Z</x:v>
      </x:c>
      <x:c r="N109" s="8" t="str">
        <x:v>https://www.smallcase.com/smallcase/healthcare-tracker-SCTR_0019</x:v>
      </x:c>
      <x:c r="O109" s="4" t="str">
        <x:v>SCTR_0019</x:v>
      </x:c>
      <x:c r="P109" s="5" t="str"/>
    </x:row>
    <x:row r="110" ht="60" customHeight="1">
      <x:c r="A110" s="4" t="n">
        <x:v>105</x:v>
      </x:c>
      <x:c r="B110" s="5" t="str">
        <x:v>DiviGrowth Capital Dividend Model</x:v>
      </x:c>
      <x:c r="C110" s="5" t="str">
        <x:v>Green Portfolio</x:v>
      </x:c>
      <x:c r="D110" s="5" t="str">
        <x:v>Diversified / strategy</x:v>
      </x:c>
      <x:c r="E110" s="5" t="str">
        <x:v>No specific industry mandate identified</x:v>
      </x:c>
      <x:c r="F110" s="5" t="str">
        <x:v>Dividend / income</x:v>
      </x:c>
      <x:c r="G110" s="6" t="n">
        <x:v>130381</x:v>
      </x:c>
      <x:c r="H110" s="4" t="str">
        <x:v>High</x:v>
      </x:c>
      <x:c r="I110" s="4" t="str">
        <x:v>Fee based</x:v>
      </x:c>
      <x:c r="J110" s="6" t="n">
        <x:v>590</x:v>
      </x:c>
      <x:c r="K110" s="5" t="str">
        <x:v>Invest in High Dividend Yield and Growth Stocks</x:v>
      </x:c>
      <x:c r="L110" s="5" t="str">
        <x:v>No sector tags assigned; see description</x:v>
      </x:c>
      <x:c r="M110" s="7" t="d">
        <x:v>2026-10-09T00:00:00.000Z</x:v>
      </x:c>
      <x:c r="N110" s="8" t="str">
        <x:v>https://www.smallcase.com/smallcase/high-dividend-yield-+-capital-appreciation-GPRMO_0004</x:v>
      </x:c>
      <x:c r="O110" s="4" t="str">
        <x:v>GPRMO_0004</x:v>
      </x:c>
      <x:c r="P110" s="5" t="str">
        <x:v>Diversified; sector mandate not specified</x:v>
      </x:c>
    </x:row>
    <x:row r="111" ht="60" customHeight="1">
      <x:c r="A111" s="4" t="n">
        <x:v>106</x:v>
      </x:c>
      <x:c r="B111" s="5" t="str">
        <x:v>House of Tata Tracker</x:v>
      </x:c>
      <x:c r="C111" s="5" t="str">
        <x:v>Windmill Capital</x:v>
      </x:c>
      <x:c r="D111" s="5" t="str">
        <x:v>Business group / PSU ownership</x:v>
      </x:c>
      <x:c r="E111" s="5" t="str">
        <x:v>No specific industry mandate identified</x:v>
      </x:c>
      <x:c r="F111" s="5" t="str">
        <x:v>Other / not specified</x:v>
      </x:c>
      <x:c r="G111" s="6" t="n">
        <x:v>35607</x:v>
      </x:c>
      <x:c r="H111" s="4" t="str">
        <x:v>Medium</x:v>
      </x:c>
      <x:c r="I111" s="4" t="str">
        <x:v>Fee based</x:v>
      </x:c>
      <x:c r="J111" s="6" t="n">
        <x:v>120</x:v>
      </x:c>
      <x:c r="K111" s="5" t="str">
        <x:v>Companies part of Tata group, a global enterprise with stellar reputation &amp; legacy of 150+ years</x:v>
      </x:c>
      <x:c r="L111" s="5" t="str">
        <x:v>No sector tags assigned; see description</x:v>
      </x:c>
      <x:c r="M111" s="7" t="d">
        <x:v>2026-09-17T00:00:00.000Z</x:v>
      </x:c>
      <x:c r="N111" s="8" t="str">
        <x:v>https://www.smallcase.com/smallcase/house-of-tata-SCTR_0014</x:v>
      </x:c>
      <x:c r="O111" s="4" t="str">
        <x:v>SCTR_0014</x:v>
      </x:c>
      <x:c r="P111" s="5" t="str">
        <x:v>Business group / PSU ownership</x:v>
      </x:c>
    </x:row>
    <x:row r="112" ht="60" customHeight="1">
      <x:c r="A112" s="4" t="n">
        <x:v>107</x:v>
      </x:c>
      <x:c r="B112" s="5" t="str">
        <x:v>H2 WEALTH BUILDERS Model</x:v>
      </x:c>
      <x:c r="C112" s="5" t="str">
        <x:v>H2 INVESTMENT MANAGERS</x:v>
      </x:c>
      <x:c r="D112" s="5" t="str">
        <x:v>Diversified / strategy</x:v>
      </x:c>
      <x:c r="E112" s="5" t="str">
        <x:v>No specific industry mandate identified</x:v>
      </x:c>
      <x:c r="F112" s="5" t="str">
        <x:v>Fundamental / growth / quality</x:v>
      </x:c>
      <x:c r="G112" s="6" t="n">
        <x:v>24640</x:v>
      </x:c>
      <x:c r="H112" s="4" t="str">
        <x:v>High</x:v>
      </x:c>
      <x:c r="I112" s="4" t="str">
        <x:v>Fee based</x:v>
      </x:c>
      <x:c r="J112" s="6" t="n">
        <x:v>983</x:v>
      </x:c>
      <x:c r="K112" s="5" t="str">
        <x:v>This smallcase is a concentrated portfolio of 8-15 co. which are in highly growth sectors.</x:v>
      </x:c>
      <x:c r="L112" s="5" t="str">
        <x:v>No sector tags assigned; see description</x:v>
      </x:c>
      <x:c r="M112" s="7" t="d">
        <x:v>2026-09-24T00:00:00.000Z</x:v>
      </x:c>
      <x:c r="N112" s="8" t="str">
        <x:v>https://www.smallcase.com/smallcase/h2-wealth-builders-HINMMO_0001</x:v>
      </x:c>
      <x:c r="O112" s="4" t="str">
        <x:v>HINMMO_0001</x:v>
      </x:c>
      <x:c r="P112" s="5" t="str">
        <x:v>Diversified; sector mandate not specified</x:v>
      </x:c>
    </x:row>
    <x:row r="113" ht="60" customHeight="1">
      <x:c r="A113" s="4" t="n">
        <x:v>108</x:v>
      </x:c>
      <x:c r="B113" s="5" t="str">
        <x:v>Mi 35 Momentum Model</x:v>
      </x:c>
      <x:c r="C113" s="5" t="str">
        <x:v>Weekend Investing</x:v>
      </x:c>
      <x:c r="D113" s="5" t="str">
        <x:v>Diversified / strategy</x:v>
      </x:c>
      <x:c r="E113" s="5" t="str">
        <x:v>No specific industry mandate identified</x:v>
      </x:c>
      <x:c r="F113" s="5" t="str">
        <x:v>Momentum / trend</x:v>
      </x:c>
      <x:c r="G113" s="6" t="n">
        <x:v>266094</x:v>
      </x:c>
      <x:c r="H113" s="4" t="str">
        <x:v>High</x:v>
      </x:c>
      <x:c r="I113" s="4" t="str">
        <x:v>Fee based</x:v>
      </x:c>
      <x:c r="J113" s="6" t="n">
        <x:v>833</x:v>
      </x:c>
      <x:c r="K113" s="5" t="str">
        <x:v>Strong 35 stocks from SmallCap250 index | Rotates to trending sectors over time | Weekly rebalanced</x:v>
      </x:c>
      <x:c r="L113" s="5" t="str">
        <x:v>No sector tags assigned; see description</x:v>
      </x:c>
      <x:c r="M113" s="7" t="d">
        <x:v>2026-10-26T00:00:00.000Z</x:v>
      </x:c>
      <x:c r="N113" s="8" t="str">
        <x:v>https://www.smallcase.com/smallcase/mi35-WKIMO_0016</x:v>
      </x:c>
      <x:c r="O113" s="4" t="str">
        <x:v>WKIMO_0016</x:v>
      </x:c>
      <x:c r="P113" s="5" t="str">
        <x:v>Diversified; sector mandate not specified</x:v>
      </x:c>
    </x:row>
    <x:row r="114" ht="60" customHeight="1">
      <x:c r="A114" s="4" t="n">
        <x:v>109</x:v>
      </x:c>
      <x:c r="B114" s="5" t="str">
        <x:v>21G Balanced Fund Asset Allocation</x:v>
      </x:c>
      <x:c r="C114" s="5" t="str">
        <x:v>21G Investments</x:v>
      </x:c>
      <x:c r="D114" s="5" t="str">
        <x:v>Asset allocation / target date</x:v>
      </x:c>
      <x:c r="E114" s="5" t="str">
        <x:v>No specific industry mandate identified</x:v>
      </x:c>
      <x:c r="F114" s="5" t="str">
        <x:v>Asset allocation</x:v>
      </x:c>
      <x:c r="G114" s="6" t="n">
        <x:v>13110</x:v>
      </x:c>
      <x:c r="H114" s="4" t="str">
        <x:v>High</x:v>
      </x:c>
      <x:c r="I114" s="4" t="str">
        <x:v>Fee based</x:v>
      </x:c>
      <x:c r="J114" s="6" t="n">
        <x:v>333</x:v>
      </x:c>
      <x:c r="K114" s="5" t="str">
        <x:v>Equity, gold, and strong silver exposure with disciplined rebalancing for stable long-term growth.</x:v>
      </x:c>
      <x:c r="L114" s="5" t="str">
        <x:v>No sector tags assigned; see description</x:v>
      </x:c>
      <x:c r="M114" s="7" t="d">
        <x:v>2026-10-16T00:00:00.000Z</x:v>
      </x:c>
      <x:c r="N114" s="8" t="str">
        <x:v>https://www.smallcase.com/smallcase/21g-balanced-etf-fund-TGIMO_0006</x:v>
      </x:c>
      <x:c r="O114" s="4" t="str">
        <x:v>TGIMO_0006</x:v>
      </x:c>
      <x:c r="P114" s="5" t="str">
        <x:v>Asset allocation / target date</x:v>
      </x:c>
    </x:row>
    <x:row r="115" ht="60" customHeight="1">
      <x:c r="A115" s="4" t="n">
        <x:v>110</x:v>
      </x:c>
      <x:c r="B115" s="5" t="str">
        <x:v>Data Center Infra Specialists Theme</x:v>
      </x:c>
      <x:c r="C115" s="5" t="str">
        <x:v>Growth Investing</x:v>
      </x:c>
      <x:c r="D115" s="5" t="str">
        <x:v>Sector / industry theme</x:v>
      </x:c>
      <x:c r="E115" s="5" t="str">
        <x:v>AI, data centres &amp; digital infrastructure; IT, software &amp; digital platforms; Power, utilities &amp; energy</x:v>
      </x:c>
      <x:c r="F115" s="5" t="str">
        <x:v>Other / not specified</x:v>
      </x:c>
      <x:c r="G115" s="6" t="n">
        <x:v>51806</x:v>
      </x:c>
      <x:c r="H115" s="4" t="str">
        <x:v>Medium</x:v>
      </x:c>
      <x:c r="I115" s="4" t="str">
        <x:v>Fee based</x:v>
      </x:c>
      <x:c r="J115" s="6" t="n">
        <x:v>729</x:v>
      </x:c>
      <x:c r="K115" s="5" t="str">
        <x:v>Data Center focus Computing, Cloud, Power &amp; Cooling Infrastructure Smallcase</x:v>
      </x:c>
      <x:c r="L115" s="5" t="str">
        <x:v>Title and listing description</x:v>
      </x:c>
      <x:c r="M115" s="7" t="d">
        <x:v>2026-10-28T00:00:00.000Z</x:v>
      </x:c>
      <x:c r="N115" s="8" t="str">
        <x:v>https://www.smallcase.com/smallcase/data-center-infra-specialists-model-GRINMX_0008</x:v>
      </x:c>
      <x:c r="O115" s="4" t="str">
        <x:v>GRINMX_0008</x:v>
      </x:c>
      <x:c r="P115" s="5" t="str"/>
    </x:row>
    <x:row r="116" ht="60" customHeight="1">
      <x:c r="A116" s="4" t="n">
        <x:v>111</x:v>
      </x:c>
      <x:c r="B116" s="5" t="str">
        <x:v>Variant Perception Portfolio Model</x:v>
      </x:c>
      <x:c r="C116" s="5" t="str">
        <x:v>Krijuna Research</x:v>
      </x:c>
      <x:c r="D116" s="5" t="str">
        <x:v>Diversified / strategy</x:v>
      </x:c>
      <x:c r="E116" s="5" t="str">
        <x:v>No specific industry mandate identified</x:v>
      </x:c>
      <x:c r="F116" s="5" t="str">
        <x:v>Other / not specified</x:v>
      </x:c>
      <x:c r="G116" s="6" t="n">
        <x:v>64356</x:v>
      </x:c>
      <x:c r="H116" s="4" t="str">
        <x:v>High</x:v>
      </x:c>
      <x:c r="I116" s="4" t="str">
        <x:v>Fee based</x:v>
      </x:c>
      <x:c r="J116" s="6" t="n">
        <x:v>749</x:v>
      </x:c>
      <x:c r="K116" s="5" t="str">
        <x:v>Investing at inflection points of the theme &amp; earnings.</x:v>
      </x:c>
      <x:c r="L116" s="5" t="str">
        <x:v>No sector tags assigned; see description</x:v>
      </x:c>
      <x:c r="M116" s="7" t="d">
        <x:v>2026-10-01T00:00:00.000Z</x:v>
      </x:c>
      <x:c r="N116" s="8" t="str">
        <x:v>https://www.smallcase.com/smallcase/variant-perception-portfolio-model-KRREMX_0003</x:v>
      </x:c>
      <x:c r="O116" s="4" t="str">
        <x:v>KRREMX_0003</x:v>
      </x:c>
      <x:c r="P116" s="5" t="str">
        <x:v>Diversified; sector mandate not specified</x:v>
      </x:c>
    </x:row>
    <x:row r="117" ht="60" customHeight="1">
      <x:c r="A117" s="4" t="n">
        <x:v>112</x:v>
      </x:c>
      <x:c r="B117" s="5" t="str">
        <x:v>Microcap Mavericks Quant</x:v>
      </x:c>
      <x:c r="C117" s="5" t="str">
        <x:v>Quantace Research</x:v>
      </x:c>
      <x:c r="D117" s="5" t="str">
        <x:v>Diversified / strategy</x:v>
      </x:c>
      <x:c r="E117" s="5" t="str">
        <x:v>No specific industry mandate identified</x:v>
      </x:c>
      <x:c r="F117" s="5" t="str">
        <x:v>Quant / factor</x:v>
      </x:c>
      <x:c r="G117" s="6" t="n">
        <x:v>15747</x:v>
      </x:c>
      <x:c r="H117" s="4" t="str">
        <x:v>High</x:v>
      </x:c>
      <x:c r="I117" s="4" t="str">
        <x:v>Fee based</x:v>
      </x:c>
      <x:c r="J117" s="6" t="n">
        <x:v>987</x:v>
      </x:c>
      <x:c r="K117" s="5" t="str">
        <x:v>Join the Bold Journey with Quantace Microcap Mavericks</x:v>
      </x:c>
      <x:c r="L117" s="5" t="str">
        <x:v>No sector tags assigned; see description</x:v>
      </x:c>
      <x:c r="M117" s="7" t="d">
        <x:v>2026-10-26T00:00:00.000Z</x:v>
      </x:c>
      <x:c r="N117" s="8" t="str">
        <x:v>https://www.smallcase.com/smallcase/nifty-next-50-micro-investment-QUREMO_0021</x:v>
      </x:c>
      <x:c r="O117" s="4" t="str">
        <x:v>QUREMO_0021</x:v>
      </x:c>
      <x:c r="P117" s="5" t="str">
        <x:v>Diversified; sector mandate not specified</x:v>
      </x:c>
    </x:row>
    <x:row r="118" ht="60" customHeight="1">
      <x:c r="A118" s="4" t="n">
        <x:v>113</x:v>
      </x:c>
      <x:c r="B118" s="5" t="str">
        <x:v>Banking &amp; Beyond Tracker</x:v>
      </x:c>
      <x:c r="C118" s="5" t="str">
        <x:v>StoxBazar</x:v>
      </x:c>
      <x:c r="D118" s="5" t="str">
        <x:v>Sector / industry theme</x:v>
      </x:c>
      <x:c r="E118" s="5" t="str">
        <x:v>Banks &amp; NBFCs; Financial services &amp; fintech</x:v>
      </x:c>
      <x:c r="F118" s="5" t="str">
        <x:v>Other / not specified</x:v>
      </x:c>
      <x:c r="G118" s="6" t="n">
        <x:v>17371</x:v>
      </x:c>
      <x:c r="H118" s="4" t="str">
        <x:v>High</x:v>
      </x:c>
      <x:c r="I118" s="4" t="str">
        <x:v>Fee based</x:v>
      </x:c>
      <x:c r="J118" s="6" t="n">
        <x:v>595</x:v>
      </x:c>
      <x:c r="K118" s="5" t="str">
        <x:v>It is designed for investors seeking exposure to India’s robust and evolving financial sector.</x:v>
      </x:c>
      <x:c r="L118" s="5" t="str">
        <x:v>Title and listing description</x:v>
      </x:c>
      <x:c r="M118" s="7" t="d">
        <x:v>2026-10-21T00:00:00.000Z</x:v>
      </x:c>
      <x:c r="N118" s="8" t="str">
        <x:v>https://www.smallcase.com/smallcase/psu-bank-under-50-STBATR_0001</x:v>
      </x:c>
      <x:c r="O118" s="4" t="str">
        <x:v>STBATR_0001</x:v>
      </x:c>
      <x:c r="P118" s="5" t="str"/>
    </x:row>
    <x:row r="119" ht="60" customHeight="1">
      <x:c r="A119" s="4" t="n">
        <x:v>114</x:v>
      </x:c>
      <x:c r="B119" s="5" t="str">
        <x:v>Concentration &amp; Conviction HNI Basket Fundamental</x:v>
      </x:c>
      <x:c r="C119" s="5" t="str">
        <x:v>KamayaKya</x:v>
      </x:c>
      <x:c r="D119" s="5" t="str">
        <x:v>Diversified / strategy</x:v>
      </x:c>
      <x:c r="E119" s="5" t="str">
        <x:v>No specific industry mandate identified</x:v>
      </x:c>
      <x:c r="F119" s="5" t="str">
        <x:v>Fundamental / growth / quality</x:v>
      </x:c>
      <x:c r="G119" s="6" t="n">
        <x:v>1000000</x:v>
      </x:c>
      <x:c r="H119" s="4" t="str">
        <x:v>High</x:v>
      </x:c>
      <x:c r="I119" s="4" t="str">
        <x:v>Fee based</x:v>
      </x:c>
      <x:c r="J119" s="6" t="n">
        <x:v>2050</x:v>
      </x:c>
      <x:c r="K119" s="5" t="str">
        <x:v>Engineered for HNIs seeking an edge - Upto 10 stocks. Min. ₹10L investment.</x:v>
      </x:c>
      <x:c r="L119" s="5" t="str">
        <x:v>No sector tags assigned; see description</x:v>
      </x:c>
      <x:c r="M119" s="7" t="d">
        <x:v>2026-10-19T00:00:00.000Z</x:v>
      </x:c>
      <x:c r="N119" s="8" t="str">
        <x:v>https://www.smallcase.com/smallcase/concentration-and-conviction-hni-basket-fundamental-KAKYFMM_0001</x:v>
      </x:c>
      <x:c r="O119" s="4" t="str">
        <x:v>KAKYFMM_0001</x:v>
      </x:c>
      <x:c r="P119" s="5" t="str">
        <x:v>Diversified; sector mandate not specified</x:v>
      </x:c>
    </x:row>
    <x:row r="120" ht="60" customHeight="1">
      <x:c r="A120" s="4" t="n">
        <x:v>115</x:v>
      </x:c>
      <x:c r="B120" s="5" t="str">
        <x:v>CWA Samvat 2082 Quant</x:v>
      </x:c>
      <x:c r="C120" s="5" t="str">
        <x:v>Compounding Wealth Advisors</x:v>
      </x:c>
      <x:c r="D120" s="5" t="str">
        <x:v>Diversified / strategy</x:v>
      </x:c>
      <x:c r="E120" s="5" t="str">
        <x:v>No specific industry mandate identified</x:v>
      </x:c>
      <x:c r="F120" s="5" t="str">
        <x:v>Quant / factor</x:v>
      </x:c>
      <x:c r="G120" s="6" t="n">
        <x:v>69009</x:v>
      </x:c>
      <x:c r="H120" s="4" t="str">
        <x:v>High</x:v>
      </x:c>
      <x:c r="I120" s="4" t="str">
        <x:v>Free access</x:v>
      </x:c>
      <x:c r="J120" s="6"/>
      <x:c r="K120" s="5" t="str">
        <x:v>Systematic Investing in trending and outperforming stocks</x:v>
      </x:c>
      <x:c r="L120" s="5" t="str">
        <x:v>No sector tags assigned; see description</x:v>
      </x:c>
      <x:c r="M120" s="7"/>
      <x:c r="N120" s="8" t="str">
        <x:v>https://www.smallcase.com/smallcase/cwa-samvat-2082-quant-COWAQM_0005</x:v>
      </x:c>
      <x:c r="O120" s="4" t="str">
        <x:v>COWAQM_0005</x:v>
      </x:c>
      <x:c r="P120" s="5" t="str">
        <x:v>Diversified; sector mandate not specified</x:v>
      </x:c>
    </x:row>
    <x:row r="121" ht="60" customHeight="1">
      <x:c r="A121" s="4" t="n">
        <x:v>116</x:v>
      </x:c>
      <x:c r="B121" s="5" t="str">
        <x:v>smartvalues - monthly Model</x:v>
      </x:c>
      <x:c r="C121" s="5" t="str">
        <x:v>Lamron Analysts</x:v>
      </x:c>
      <x:c r="D121" s="5" t="str">
        <x:v>Diversified / strategy</x:v>
      </x:c>
      <x:c r="E121" s="5" t="str">
        <x:v>No specific industry mandate identified</x:v>
      </x:c>
      <x:c r="F121" s="5" t="str">
        <x:v>Momentum / trend</x:v>
      </x:c>
      <x:c r="G121" s="6" t="n">
        <x:v>50000</x:v>
      </x:c>
      <x:c r="H121" s="4" t="str">
        <x:v>High</x:v>
      </x:c>
      <x:c r="I121" s="4" t="str">
        <x:v>Fee based</x:v>
      </x:c>
      <x:c r="J121" s="6" t="n">
        <x:v>1333</x:v>
      </x:c>
      <x:c r="K121" s="5" t="str">
        <x:v>Adaptive dual factor: Ride momentum with swing trades. Defend downside with low volatility stocks.</x:v>
      </x:c>
      <x:c r="L121" s="5" t="str">
        <x:v>No sector tags assigned; see description</x:v>
      </x:c>
      <x:c r="M121" s="7" t="d">
        <x:v>2026-09-02T00:00:00.000Z</x:v>
      </x:c>
      <x:c r="N121" s="8" t="str">
        <x:v>https://www.smallcase.com/smallcase/smartvalues-monthly-smart-beta-LMRSB_0001</x:v>
      </x:c>
      <x:c r="O121" s="4" t="str">
        <x:v>LMRSB_0001</x:v>
      </x:c>
      <x:c r="P121" s="5" t="str">
        <x:v>Diversified; sector mandate not specified</x:v>
      </x:c>
    </x:row>
    <x:row r="122" ht="60" customHeight="1">
      <x:c r="A122" s="4" t="n">
        <x:v>117</x:v>
      </x:c>
      <x:c r="B122" s="5" t="str">
        <x:v>Caprize New Age Business Opportunities Theme</x:v>
      </x:c>
      <x:c r="C122" s="5" t="str">
        <x:v>CAPRIZE INVESTMENT MANAGERS PRIVATE LIMITED</x:v>
      </x:c>
      <x:c r="D122" s="5" t="str">
        <x:v>Diversified / strategy</x:v>
      </x:c>
      <x:c r="E122" s="5" t="str">
        <x:v>No specific industry mandate identified</x:v>
      </x:c>
      <x:c r="F122" s="5" t="str">
        <x:v>Other / not specified</x:v>
      </x:c>
      <x:c r="G122" s="6" t="n">
        <x:v>56110</x:v>
      </x:c>
      <x:c r="H122" s="4" t="str">
        <x:v>High</x:v>
      </x:c>
      <x:c r="I122" s="4" t="str">
        <x:v>Fee based</x:v>
      </x:c>
      <x:c r="J122" s="6" t="n">
        <x:v>236</x:v>
      </x:c>
      <x:c r="K122" s="5" t="str">
        <x:v>Investing in India's new-age businesses, right at their inflection point.</x:v>
      </x:c>
      <x:c r="L122" s="5" t="str">
        <x:v>No sector tags assigned; see description</x:v>
      </x:c>
      <x:c r="M122" s="7" t="d">
        <x:v>2026-10-27T00:00:00.000Z</x:v>
      </x:c>
      <x:c r="N122" s="8" t="str">
        <x:v>https://www.smallcase.com/smallcase/caprize-new-age-business-opportunities-theme-CAPINM_0002</x:v>
      </x:c>
      <x:c r="O122" s="4" t="str">
        <x:v>CAPINM_0002</x:v>
      </x:c>
      <x:c r="P122" s="5" t="str">
        <x:v>Innovation / emerging business themes</x:v>
      </x:c>
    </x:row>
    <x:row r="123" ht="60" customHeight="1">
      <x:c r="A123" s="4" t="n">
        <x:v>118</x:v>
      </x:c>
      <x:c r="B123" s="5" t="str">
        <x:v>Aspire Diversified Stocks Portfolio Quant</x:v>
      </x:c>
      <x:c r="C123" s="5" t="str">
        <x:v>SmartWealth.ai</x:v>
      </x:c>
      <x:c r="D123" s="5" t="str">
        <x:v>Asset allocation / target date</x:v>
      </x:c>
      <x:c r="E123" s="5" t="str">
        <x:v>No specific industry mandate identified</x:v>
      </x:c>
      <x:c r="F123" s="5" t="str">
        <x:v>Asset allocation</x:v>
      </x:c>
      <x:c r="G123" s="6" t="n">
        <x:v>2044</x:v>
      </x:c>
      <x:c r="H123" s="4" t="str">
        <x:v>High</x:v>
      </x:c>
      <x:c r="I123" s="4" t="str">
        <x:v>Fee based</x:v>
      </x:c>
      <x:c r="J123" s="6" t="n">
        <x:v>1179</x:v>
      </x:c>
      <x:c r="K123" s="5" t="str">
        <x:v>Concentrated Momentum Stocks &amp; Dynamic Gold Hedge – Invest Up to ₹10 Lacs</x:v>
      </x:c>
      <x:c r="L123" s="5" t="str">
        <x:v>No sector tags assigned; see description</x:v>
      </x:c>
      <x:c r="M123" s="7" t="d">
        <x:v>2026-10-22T00:00:00.000Z</x:v>
      </x:c>
      <x:c r="N123" s="8" t="str">
        <x:v>https://www.smallcase.com/smallcase/aspire-10-daily-aspire-np10.d-SMWANM_0014</x:v>
      </x:c>
      <x:c r="O123" s="4" t="str">
        <x:v>SMWANM_0014</x:v>
      </x:c>
      <x:c r="P123" s="5" t="str">
        <x:v>Asset allocation / target date</x:v>
      </x:c>
    </x:row>
    <x:row r="124" ht="60" customHeight="1">
      <x:c r="A124" s="4" t="n">
        <x:v>119</x:v>
      </x:c>
      <x:c r="B124" s="5" t="str">
        <x:v>CWA MILT 25 Quant</x:v>
      </x:c>
      <x:c r="C124" s="5" t="str">
        <x:v>Compounding Wealth Advisors</x:v>
      </x:c>
      <x:c r="D124" s="5" t="str">
        <x:v>Diversified / strategy</x:v>
      </x:c>
      <x:c r="E124" s="5" t="str">
        <x:v>No specific industry mandate identified</x:v>
      </x:c>
      <x:c r="F124" s="5" t="str">
        <x:v>Momentum / trend</x:v>
      </x:c>
      <x:c r="G124" s="6" t="n">
        <x:v>238493</x:v>
      </x:c>
      <x:c r="H124" s="4" t="str">
        <x:v>High</x:v>
      </x:c>
      <x:c r="I124" s="4" t="str">
        <x:v>Fee based</x:v>
      </x:c>
      <x:c r="J124" s="6" t="n">
        <x:v>983</x:v>
      </x:c>
      <x:c r="K124" s="5" t="str">
        <x:v>Diversified Quantitative Investing in momentum breakout stocks from Total Market Recmd amt:5-15 lacs</x:v>
      </x:c>
      <x:c r="L124" s="5" t="str">
        <x:v>No sector tags assigned; see description</x:v>
      </x:c>
      <x:c r="M124" s="7" t="d">
        <x:v>2026-10-26T00:00:00.000Z</x:v>
      </x:c>
      <x:c r="N124" s="8" t="str">
        <x:v>https://www.smallcase.com/smallcase/cwa-milt-25-COWAMO_0002</x:v>
      </x:c>
      <x:c r="O124" s="4" t="str">
        <x:v>COWAMO_0002</x:v>
      </x:c>
      <x:c r="P124" s="5" t="str">
        <x:v>Diversified; sector mandate not specified</x:v>
      </x:c>
    </x:row>
    <x:row r="125" ht="60" customHeight="1">
      <x:c r="A125" s="4" t="n">
        <x:v>120</x:v>
      </x:c>
      <x:c r="B125" s="5" t="str">
        <x:v>Horizon 2030 Target Date</x:v>
      </x:c>
      <x:c r="C125" s="5" t="str">
        <x:v>Windmill Capital</x:v>
      </x:c>
      <x:c r="D125" s="5" t="str">
        <x:v>Asset allocation / target date</x:v>
      </x:c>
      <x:c r="E125" s="5" t="str">
        <x:v>No specific industry mandate identified</x:v>
      </x:c>
      <x:c r="F125" s="5" t="str">
        <x:v>Asset allocation</x:v>
      </x:c>
      <x:c r="G125" s="6" t="n">
        <x:v>4451</x:v>
      </x:c>
      <x:c r="H125" s="4" t="str">
        <x:v>Low</x:v>
      </x:c>
      <x:c r="I125" s="4" t="str">
        <x:v>Fee based</x:v>
      </x:c>
      <x:c r="J125" s="6" t="n">
        <x:v>120</x:v>
      </x:c>
      <x:c r="K125" s="5" t="str">
        <x:v>Optimizes investment value for goals to be achieved in 2030</x:v>
      </x:c>
      <x:c r="L125" s="5" t="str">
        <x:v>No sector tags assigned; see description</x:v>
      </x:c>
      <x:c r="M125" s="7" t="d">
        <x:v>2026-01-06T00:00:00.000Z</x:v>
      </x:c>
      <x:c r="N125" s="8" t="str">
        <x:v>https://www.smallcase.com/smallcase/retirement-2030-SCET_0016</x:v>
      </x:c>
      <x:c r="O125" s="4" t="str">
        <x:v>SCET_0016</x:v>
      </x:c>
      <x:c r="P125" s="5" t="str">
        <x:v>Asset allocation / target date</x:v>
      </x:c>
    </x:row>
    <x:row r="126" ht="60" customHeight="1">
      <x:c r="A126" s="4" t="n">
        <x:v>121</x:v>
      </x:c>
      <x:c r="B126" s="5" t="str">
        <x:v>ViniyogIndia Armadillo Quant</x:v>
      </x:c>
      <x:c r="C126" s="5" t="str">
        <x:v>ViniyogIndia</x:v>
      </x:c>
      <x:c r="D126" s="5" t="str">
        <x:v>Asset allocation / target date</x:v>
      </x:c>
      <x:c r="E126" s="5" t="str">
        <x:v>No specific industry mandate identified</x:v>
      </x:c>
      <x:c r="F126" s="5" t="str">
        <x:v>Asset allocation</x:v>
      </x:c>
      <x:c r="G126" s="6" t="n">
        <x:v>100000</x:v>
      </x:c>
      <x:c r="H126" s="4" t="str">
        <x:v>Medium</x:v>
      </x:c>
      <x:c r="I126" s="4" t="str">
        <x:v>Not shown</x:v>
      </x:c>
      <x:c r="J126" s="6"/>
      <x:c r="K126" s="5" t="str">
        <x:v>Multi-factor, multi-asset portfolio of stocks &amp; ETFs.</x:v>
      </x:c>
      <x:c r="L126" s="5" t="str">
        <x:v>No sector tags assigned; see description</x:v>
      </x:c>
      <x:c r="M126" s="7" t="d">
        <x:v>2026-09-28T00:00:00.000Z</x:v>
      </x:c>
      <x:c r="N126" s="8" t="str">
        <x:v>https://www.smallcase.com/smallcase/viniyogindia-armadillo-VIYIMO_0003</x:v>
      </x:c>
      <x:c r="O126" s="4" t="str">
        <x:v>VIYIMO_0003</x:v>
      </x:c>
      <x:c r="P126" s="5" t="str">
        <x:v>Asset allocation / target date</x:v>
      </x:c>
    </x:row>
    <x:row r="127" ht="60" customHeight="1">
      <x:c r="A127" s="4" t="n">
        <x:v>122</x:v>
      </x:c>
      <x:c r="B127" s="5" t="str">
        <x:v>Passive Income Investments Model</x:v>
      </x:c>
      <x:c r="C127" s="5" t="str">
        <x:v>StoxBazar</x:v>
      </x:c>
      <x:c r="D127" s="5" t="str">
        <x:v>Diversified / strategy</x:v>
      </x:c>
      <x:c r="E127" s="5" t="str">
        <x:v>No specific industry mandate identified</x:v>
      </x:c>
      <x:c r="F127" s="5" t="str">
        <x:v>Dividend / income</x:v>
      </x:c>
      <x:c r="G127" s="6" t="n">
        <x:v>14385</x:v>
      </x:c>
      <x:c r="H127" s="4" t="str">
        <x:v>High</x:v>
      </x:c>
      <x:c r="I127" s="4" t="str">
        <x:v>Fee based</x:v>
      </x:c>
      <x:c r="J127" s="6" t="n">
        <x:v>583</x:v>
      </x:c>
      <x:c r="K127" s="5" t="str">
        <x:v>Generate income from dividends. Basket of individual stocks that pay High dividends.</x:v>
      </x:c>
      <x:c r="L127" s="5" t="str">
        <x:v>No sector tags assigned; see description</x:v>
      </x:c>
      <x:c r="M127" s="7" t="d">
        <x:v>2026-10-21T00:00:00.000Z</x:v>
      </x:c>
      <x:c r="N127" s="8" t="str">
        <x:v>https://www.smallcase.com/smallcase/passive-income-investments-STBANM_0001</x:v>
      </x:c>
      <x:c r="O127" s="4" t="str">
        <x:v>STBANM_0001</x:v>
      </x:c>
      <x:c r="P127" s="5" t="str">
        <x:v>Diversified; sector mandate not specified</x:v>
      </x:c>
    </x:row>
    <x:row r="128" ht="60" customHeight="1">
      <x:c r="A128" s="4" t="n">
        <x:v>123</x:v>
      </x:c>
      <x:c r="B128" s="5" t="str">
        <x:v>Tiny Titans Quant</x:v>
      </x:c>
      <x:c r="C128" s="5" t="str">
        <x:v>Quantace Research</x:v>
      </x:c>
      <x:c r="D128" s="5" t="str">
        <x:v>Diversified / strategy</x:v>
      </x:c>
      <x:c r="E128" s="5" t="str">
        <x:v>No specific industry mandate identified</x:v>
      </x:c>
      <x:c r="F128" s="5" t="str">
        <x:v>Momentum / trend</x:v>
      </x:c>
      <x:c r="G128" s="6" t="n">
        <x:v>37107</x:v>
      </x:c>
      <x:c r="H128" s="4" t="str">
        <x:v>High</x:v>
      </x:c>
      <x:c r="I128" s="4" t="str">
        <x:v>Fee based</x:v>
      </x:c>
      <x:c r="J128" s="6" t="n">
        <x:v>700</x:v>
      </x:c>
      <x:c r="K128" s="5" t="str">
        <x:v>Momentum-Driven Microcap Growth. Rec 5-10 Lakhs</x:v>
      </x:c>
      <x:c r="L128" s="5" t="str">
        <x:v>No sector tags assigned; see description</x:v>
      </x:c>
      <x:c r="M128" s="7" t="d">
        <x:v>2026-10-26T00:00:00.000Z</x:v>
      </x:c>
      <x:c r="N128" s="8" t="str">
        <x:v>https://www.smallcase.com/smallcase/quantace-microcap-rockets-QUREMO_0037</x:v>
      </x:c>
      <x:c r="O128" s="4" t="str">
        <x:v>QUREMO_0037</x:v>
      </x:c>
      <x:c r="P128" s="5" t="str">
        <x:v>Diversified; sector mandate not specified</x:v>
      </x:c>
    </x:row>
    <x:row r="129" ht="60" customHeight="1">
      <x:c r="A129" s="4" t="n">
        <x:v>124</x:v>
      </x:c>
      <x:c r="B129" s="5" t="str">
        <x:v>Equi Momentum Model</x:v>
      </x:c>
      <x:c r="C129" s="5" t="str">
        <x:v>Equivision Consulting</x:v>
      </x:c>
      <x:c r="D129" s="5" t="str">
        <x:v>Diversified / strategy</x:v>
      </x:c>
      <x:c r="E129" s="5" t="str">
        <x:v>No specific industry mandate identified</x:v>
      </x:c>
      <x:c r="F129" s="5" t="str">
        <x:v>Momentum / trend</x:v>
      </x:c>
      <x:c r="G129" s="6" t="n">
        <x:v>127026</x:v>
      </x:c>
      <x:c r="H129" s="4" t="str">
        <x:v>High</x:v>
      </x:c>
      <x:c r="I129" s="4" t="str">
        <x:v>Fee based</x:v>
      </x:c>
      <x:c r="J129" s="6" t="n">
        <x:v>1029</x:v>
      </x:c>
      <x:c r="K129" s="5" t="str">
        <x:v>20-30 Stocks: Momentum Stocks - Smallcaps &amp; Midcaps</x:v>
      </x:c>
      <x:c r="L129" s="5" t="str">
        <x:v>No sector tags assigned; see description</x:v>
      </x:c>
      <x:c r="M129" s="7" t="d">
        <x:v>2026-09-30T00:00:00.000Z</x:v>
      </x:c>
      <x:c r="N129" s="8" t="str">
        <x:v>https://www.smallcase.com/smallcase/equimomentum-EREQMO_0007</x:v>
      </x:c>
      <x:c r="O129" s="4" t="str">
        <x:v>EREQMO_0007</x:v>
      </x:c>
      <x:c r="P129" s="5" t="str">
        <x:v>Diversified; sector mandate not specified</x:v>
      </x:c>
    </x:row>
    <x:row r="130" ht="60" customHeight="1">
      <x:c r="A130" s="4" t="n">
        <x:v>125</x:v>
      </x:c>
      <x:c r="B130" s="5" t="str">
        <x:v>Banking Stars Tracker</x:v>
      </x:c>
      <x:c r="C130" s="5" t="str">
        <x:v>Quantace Research</x:v>
      </x:c>
      <x:c r="D130" s="5" t="str">
        <x:v>Sector / industry theme</x:v>
      </x:c>
      <x:c r="E130" s="5" t="str">
        <x:v>Banks &amp; NBFCs</x:v>
      </x:c>
      <x:c r="F130" s="5" t="str">
        <x:v>Quant / factor</x:v>
      </x:c>
      <x:c r="G130" s="6" t="n">
        <x:v>1834</x:v>
      </x:c>
      <x:c r="H130" s="4" t="str">
        <x:v>High</x:v>
      </x:c>
      <x:c r="I130" s="4" t="str">
        <x:v>Fee based</x:v>
      </x:c>
      <x:c r="J130" s="6" t="n">
        <x:v>675</x:v>
      </x:c>
      <x:c r="K130" s="5" t="str">
        <x:v>Invest in the backbone of the economy with the Quantace Banking Stars</x:v>
      </x:c>
      <x:c r="L130" s="5" t="str">
        <x:v>Title and listing description</x:v>
      </x:c>
      <x:c r="M130" s="7" t="d">
        <x:v>2026-10-26T00:00:00.000Z</x:v>
      </x:c>
      <x:c r="N130" s="8" t="str">
        <x:v>https://www.smallcase.com/smallcase/bank-ace-stars-QURETR_0001</x:v>
      </x:c>
      <x:c r="O130" s="4" t="str">
        <x:v>QURETR_0001</x:v>
      </x:c>
      <x:c r="P130" s="5" t="str"/>
    </x:row>
    <x:row r="131" ht="60" customHeight="1">
      <x:c r="A131" s="4" t="n">
        <x:v>126</x:v>
      </x:c>
      <x:c r="B131" s="5" t="str">
        <x:v>Momentum - Growth Stocks Model</x:v>
      </x:c>
      <x:c r="C131" s="5" t="str">
        <x:v>Bullish India</x:v>
      </x:c>
      <x:c r="D131" s="5" t="str">
        <x:v>Diversified / strategy</x:v>
      </x:c>
      <x:c r="E131" s="5" t="str">
        <x:v>No specific industry mandate identified</x:v>
      </x:c>
      <x:c r="F131" s="5" t="str">
        <x:v>Momentum / trend</x:v>
      </x:c>
      <x:c r="G131" s="6" t="n">
        <x:v>50000</x:v>
      </x:c>
      <x:c r="H131" s="4" t="str">
        <x:v>High</x:v>
      </x:c>
      <x:c r="I131" s="4" t="str">
        <x:v>Fee based</x:v>
      </x:c>
      <x:c r="J131" s="6" t="n">
        <x:v>1666</x:v>
      </x:c>
      <x:c r="K131" s="5" t="str">
        <x:v>Invest in India’s Growth and Futuristic Businesses with Quality Edge of Bullish India Team</x:v>
      </x:c>
      <x:c r="L131" s="5" t="str">
        <x:v>No sector tags assigned; see description</x:v>
      </x:c>
      <x:c r="M131" s="7" t="d">
        <x:v>2026-10-19T00:00:00.000Z</x:v>
      </x:c>
      <x:c r="N131" s="8" t="str">
        <x:v>https://www.smallcase.com/smallcase/high-momentum-:-high-growth-stocks-BULLMO_0002</x:v>
      </x:c>
      <x:c r="O131" s="4" t="str">
        <x:v>BULLMO_0002</x:v>
      </x:c>
      <x:c r="P131" s="5" t="str">
        <x:v>Diversified; sector mandate not specified</x:v>
      </x:c>
    </x:row>
    <x:row r="132" ht="60" customHeight="1">
      <x:c r="A132" s="4" t="n">
        <x:v>127</x:v>
      </x:c>
      <x:c r="B132" s="5" t="str">
        <x:v>Horizon 2055 Target Date</x:v>
      </x:c>
      <x:c r="C132" s="5" t="str">
        <x:v>Windmill Capital</x:v>
      </x:c>
      <x:c r="D132" s="5" t="str">
        <x:v>Asset allocation / target date</x:v>
      </x:c>
      <x:c r="E132" s="5" t="str">
        <x:v>No specific industry mandate identified</x:v>
      </x:c>
      <x:c r="F132" s="5" t="str">
        <x:v>Asset allocation</x:v>
      </x:c>
      <x:c r="G132" s="6" t="n">
        <x:v>7180</x:v>
      </x:c>
      <x:c r="H132" s="4" t="str">
        <x:v>Low</x:v>
      </x:c>
      <x:c r="I132" s="4" t="str">
        <x:v>Fee based</x:v>
      </x:c>
      <x:c r="J132" s="6" t="n">
        <x:v>116</x:v>
      </x:c>
      <x:c r="K132" s="5" t="str">
        <x:v>Multi-asset portfolio optimizing investment value in 2055, for goals like retirement and education</x:v>
      </x:c>
      <x:c r="L132" s="5" t="str">
        <x:v>No sector tags assigned; see description</x:v>
      </x:c>
      <x:c r="M132" s="7" t="d">
        <x:v>2026-01-06T00:00:00.000Z</x:v>
      </x:c>
      <x:c r="N132" s="8" t="str">
        <x:v>https://www.smallcase.com/smallcase/retirement-2055-SCET_0021</x:v>
      </x:c>
      <x:c r="O132" s="4" t="str">
        <x:v>SCET_0021</x:v>
      </x:c>
      <x:c r="P132" s="5" t="str">
        <x:v>Asset allocation / target date</x:v>
      </x:c>
    </x:row>
    <x:row r="133" ht="60" customHeight="1">
      <x:c r="A133" s="4" t="n">
        <x:v>128</x:v>
      </x:c>
      <x:c r="B133" s="5" t="str">
        <x:v>GVSR - Pharma Sector- Value buys Tracker</x:v>
      </x:c>
      <x:c r="C133" s="5" t="str">
        <x:v>GVSRwealth</x:v>
      </x:c>
      <x:c r="D133" s="5" t="str">
        <x:v>Sector / industry theme</x:v>
      </x:c>
      <x:c r="E133" s="5" t="str">
        <x:v>Pharma &amp; healthcare</x:v>
      </x:c>
      <x:c r="F133" s="5" t="str">
        <x:v>Value / contrarian</x:v>
      </x:c>
      <x:c r="G133" s="6" t="n">
        <x:v>30384</x:v>
      </x:c>
      <x:c r="H133" s="4" t="str">
        <x:v>Medium</x:v>
      </x:c>
      <x:c r="I133" s="4" t="str">
        <x:v>Fee based</x:v>
      </x:c>
      <x:c r="J133" s="6" t="n">
        <x:v>1180</x:v>
      </x:c>
      <x:c r="K133" s="5" t="str">
        <x:v>Discover 'hidden value' (V) in select stocks in pharma sector - the global pharmacy of the world.</x:v>
      </x:c>
      <x:c r="L133" s="5" t="str">
        <x:v>Title and listing description</x:v>
      </x:c>
      <x:c r="M133" s="7" t="d">
        <x:v>2026-10-12T00:00:00.000Z</x:v>
      </x:c>
      <x:c r="N133" s="8" t="str">
        <x:v>https://www.smallcase.com/smallcase/gvsr-pharma-value-buys-GVSRTR_0007</x:v>
      </x:c>
      <x:c r="O133" s="4" t="str">
        <x:v>GVSRTR_0007</x:v>
      </x:c>
      <x:c r="P133" s="5" t="str"/>
    </x:row>
    <x:row r="134" ht="60" customHeight="1">
      <x:c r="A134" s="4" t="n">
        <x:v>129</x:v>
      </x:c>
      <x:c r="B134" s="5" t="str">
        <x:v>Value Migration Theme</x:v>
      </x:c>
      <x:c r="C134" s="5" t="str">
        <x:v>Paterson</x:v>
      </x:c>
      <x:c r="D134" s="5" t="str">
        <x:v>Diversified / strategy</x:v>
      </x:c>
      <x:c r="E134" s="5" t="str">
        <x:v>No specific industry mandate identified</x:v>
      </x:c>
      <x:c r="F134" s="5" t="str">
        <x:v>Value / contrarian</x:v>
      </x:c>
      <x:c r="G134" s="6" t="n">
        <x:v>50000</x:v>
      </x:c>
      <x:c r="H134" s="4" t="str">
        <x:v>High</x:v>
      </x:c>
      <x:c r="I134" s="4" t="str">
        <x:v>Fee based</x:v>
      </x:c>
      <x:c r="J134" s="6" t="n">
        <x:v>625</x:v>
      </x:c>
      <x:c r="K134" s="5" t="str">
        <x:v>Unorganised to Organised. Brick-and-Mortar to Digital. Premiumisation. Invest in mega value-shifts.</x:v>
      </x:c>
      <x:c r="L134" s="5" t="str">
        <x:v>No sector tags assigned; see description</x:v>
      </x:c>
      <x:c r="M134" s="7" t="d">
        <x:v>2026-07-06T00:00:00.000Z</x:v>
      </x:c>
      <x:c r="N134" s="8" t="str">
        <x:v>https://www.smallcase.com/smallcase/value-migration-RUPENM_0011</x:v>
      </x:c>
      <x:c r="O134" s="4" t="str">
        <x:v>RUPENM_0011</x:v>
      </x:c>
      <x:c r="P134" s="5" t="str">
        <x:v>Value migration / formalisation</x:v>
      </x:c>
    </x:row>
    <x:row r="135" ht="60" customHeight="1">
      <x:c r="A135" s="4" t="n">
        <x:v>130</x:v>
      </x:c>
      <x:c r="B135" s="5" t="str">
        <x:v>Mi INDIA Top10 Momentum Model</x:v>
      </x:c>
      <x:c r="C135" s="5" t="str">
        <x:v>Weekend Investing</x:v>
      </x:c>
      <x:c r="D135" s="5" t="str">
        <x:v>Diversified / strategy</x:v>
      </x:c>
      <x:c r="E135" s="5" t="str">
        <x:v>No specific industry mandate identified</x:v>
      </x:c>
      <x:c r="F135" s="5" t="str">
        <x:v>Momentum / trend</x:v>
      </x:c>
      <x:c r="G135" s="6" t="n">
        <x:v>75796</x:v>
      </x:c>
      <x:c r="H135" s="4" t="str">
        <x:v>High</x:v>
      </x:c>
      <x:c r="I135" s="4" t="str">
        <x:v>Fee based</x:v>
      </x:c>
      <x:c r="J135" s="6" t="n">
        <x:v>583</x:v>
      </x:c>
      <x:c r="K135" s="5" t="str">
        <x:v>Survival of the Fittest | 10 Strongest stocks among NIFTY 50 stocks | Monthly Rebalanced |</x:v>
      </x:c>
      <x:c r="L135" s="5" t="str">
        <x:v>No sector tags assigned; see description</x:v>
      </x:c>
      <x:c r="M135" s="7" t="d">
        <x:v>2026-10-26T00:00:00.000Z</x:v>
      </x:c>
      <x:c r="N135" s="8" t="str">
        <x:v>https://www.smallcase.com/smallcase/mi-india-top10-WKIMO_0020</x:v>
      </x:c>
      <x:c r="O135" s="4" t="str">
        <x:v>WKIMO_0020</x:v>
      </x:c>
      <x:c r="P135" s="5" t="str">
        <x:v>Diversified; sector mandate not specified</x:v>
      </x:c>
    </x:row>
    <x:row r="136" ht="60" customHeight="1">
      <x:c r="A136" s="4" t="n">
        <x:v>131</x:v>
      </x:c>
      <x:c r="B136" s="5" t="str">
        <x:v>GoalFi Growth &amp; Value Flexi Cap Model</x:v>
      </x:c>
      <x:c r="C136" s="5" t="str">
        <x:v>GoalFi</x:v>
      </x:c>
      <x:c r="D136" s="5" t="str">
        <x:v>Diversified / strategy</x:v>
      </x:c>
      <x:c r="E136" s="5" t="str">
        <x:v>No specific industry mandate identified</x:v>
      </x:c>
      <x:c r="F136" s="5" t="str">
        <x:v>Value / contrarian</x:v>
      </x:c>
      <x:c r="G136" s="6" t="n">
        <x:v>300000</x:v>
      </x:c>
      <x:c r="H136" s="4" t="str">
        <x:v>High</x:v>
      </x:c>
      <x:c r="I136" s="4" t="str">
        <x:v>Fee based</x:v>
      </x:c>
      <x:c r="J136" s="6" t="n">
        <x:v>1249</x:v>
      </x:c>
      <x:c r="K136" s="5" t="str">
        <x:v>A dual-factor strategy holding 15 stocks from the Nifty 500, reviewed quarterly.</x:v>
      </x:c>
      <x:c r="L136" s="5" t="str">
        <x:v>No sector tags assigned; see description</x:v>
      </x:c>
      <x:c r="M136" s="7" t="d">
        <x:v>2026-08-03T00:00:00.000Z</x:v>
      </x:c>
      <x:c r="N136" s="8" t="str">
        <x:v>https://www.smallcase.com/smallcase/innovating-growth-leaders-GOALMO_0080</x:v>
      </x:c>
      <x:c r="O136" s="4" t="str">
        <x:v>GOALMO_0080</x:v>
      </x:c>
      <x:c r="P136" s="5" t="str">
        <x:v>Diversified; sector mandate not specified</x:v>
      </x:c>
    </x:row>
    <x:row r="137" ht="60" customHeight="1">
      <x:c r="A137" s="4" t="n">
        <x:v>132</x:v>
      </x:c>
      <x:c r="B137" s="5" t="str">
        <x:v>AAA Emerging Business Opportunities Fundamental</x:v>
      </x:c>
      <x:c r="C137" s="5" t="str">
        <x:v>AlfAccurate</x:v>
      </x:c>
      <x:c r="D137" s="5" t="str">
        <x:v>Diversified / strategy</x:v>
      </x:c>
      <x:c r="E137" s="5" t="str">
        <x:v>No specific industry mandate identified</x:v>
      </x:c>
      <x:c r="F137" s="5" t="str">
        <x:v>Fundamental / growth / quality</x:v>
      </x:c>
      <x:c r="G137" s="6" t="n">
        <x:v>352332</x:v>
      </x:c>
      <x:c r="H137" s="4" t="str">
        <x:v>High</x:v>
      </x:c>
      <x:c r="I137" s="4" t="str">
        <x:v>Not shown</x:v>
      </x:c>
      <x:c r="J137" s="6"/>
      <x:c r="K137" s="5" t="str">
        <x:v>Portfolio of companies that are big beneficiaries of secular trends in the sector.</x:v>
      </x:c>
      <x:c r="L137" s="5" t="str">
        <x:v>No sector tags assigned; see description</x:v>
      </x:c>
      <x:c r="M137" s="7" t="d">
        <x:v>2026-08-25T00:00:00.000Z</x:v>
      </x:c>
      <x:c r="N137" s="8" t="str">
        <x:v>https://www.smallcase.com/smallcase/aaa-emerging-business-opportunities-AACAMO_0003</x:v>
      </x:c>
      <x:c r="O137" s="4" t="str">
        <x:v>AACAMO_0003</x:v>
      </x:c>
      <x:c r="P137" s="5" t="str">
        <x:v>Diversified; sector mandate not specified</x:v>
      </x:c>
    </x:row>
    <x:row r="138" ht="60" customHeight="1">
      <x:c r="A138" s="4" t="n">
        <x:v>133</x:v>
      </x:c>
      <x:c r="B138" s="5" t="str">
        <x:v>Smart ETFs Quant</x:v>
      </x:c>
      <x:c r="C138" s="5" t="str">
        <x:v>Quantace Research</x:v>
      </x:c>
      <x:c r="D138" s="5" t="str">
        <x:v>Diversified / strategy</x:v>
      </x:c>
      <x:c r="E138" s="5" t="str">
        <x:v>No specific industry mandate identified</x:v>
      </x:c>
      <x:c r="F138" s="5" t="str">
        <x:v>Quant / factor</x:v>
      </x:c>
      <x:c r="G138" s="6" t="n">
        <x:v>1072</x:v>
      </x:c>
      <x:c r="H138" s="4" t="str">
        <x:v>Medium</x:v>
      </x:c>
      <x:c r="I138" s="4" t="str">
        <x:v>Fee based</x:v>
      </x:c>
      <x:c r="J138" s="6" t="n">
        <x:v>416</x:v>
      </x:c>
      <x:c r="K138" s="5" t="str">
        <x:v>ETF Strategy compiled by Quantace Research</x:v>
      </x:c>
      <x:c r="L138" s="5" t="str">
        <x:v>No sector tags assigned; see description</x:v>
      </x:c>
      <x:c r="M138" s="7" t="d">
        <x:v>2026-10-26T00:00:00.000Z</x:v>
      </x:c>
      <x:c r="N138" s="8" t="str">
        <x:v>https://www.smallcase.com/smallcase/quantace-super-etfs-QUREET_0001</x:v>
      </x:c>
      <x:c r="O138" s="4" t="str">
        <x:v>QUREET_0001</x:v>
      </x:c>
      <x:c r="P138" s="5" t="str">
        <x:v>Diversified; sector mandate not specified</x:v>
      </x:c>
    </x:row>
    <x:row r="139" ht="60" customHeight="1">
      <x:c r="A139" s="4" t="n">
        <x:v>134</x:v>
      </x:c>
      <x:c r="B139" s="5" t="str">
        <x:v>Bharat Green Theme</x:v>
      </x:c>
      <x:c r="C139" s="5" t="str">
        <x:v>Samar Wealth</x:v>
      </x:c>
      <x:c r="D139" s="5" t="str">
        <x:v>Sector / industry theme</x:v>
      </x:c>
      <x:c r="E139" s="5" t="str">
        <x:v>Renewables, clean energy &amp; recycling; AI, data centres &amp; digital infrastructure</x:v>
      </x:c>
      <x:c r="F139" s="5" t="str">
        <x:v>Fundamental / growth / quality</x:v>
      </x:c>
      <x:c r="G139" s="6" t="n">
        <x:v>110038</x:v>
      </x:c>
      <x:c r="H139" s="4" t="str">
        <x:v>High</x:v>
      </x:c>
      <x:c r="I139" s="4" t="str">
        <x:v>Fee based</x:v>
      </x:c>
      <x:c r="J139" s="6" t="n">
        <x:v>1573</x:v>
      </x:c>
      <x:c r="K139" s="5" t="str">
        <x:v>Designed to leverage India's Growth Story in Sunrise Sectors; Green Energy, Data Centers &amp; Recycling</x:v>
      </x:c>
      <x:c r="L139" s="5" t="str">
        <x:v>Title and listing description</x:v>
      </x:c>
      <x:c r="M139" s="7" t="d">
        <x:v>2026-10-23T00:00:00.000Z</x:v>
      </x:c>
      <x:c r="N139" s="8" t="str">
        <x:v>https://www.smallcase.com/smallcase/bharat-green-SAWENM_0002</x:v>
      </x:c>
      <x:c r="O139" s="4" t="str">
        <x:v>SAWENM_0002</x:v>
      </x:c>
      <x:c r="P139" s="5" t="str"/>
    </x:row>
    <x:row r="140" ht="60" customHeight="1">
      <x:c r="A140" s="4" t="n">
        <x:v>135</x:v>
      </x:c>
      <x:c r="B140" s="5" t="str">
        <x:v>Sarthi Emerging Growth Compounders Model</x:v>
      </x:c>
      <x:c r="C140" s="5" t="str">
        <x:v>Krijuna Research</x:v>
      </x:c>
      <x:c r="D140" s="5" t="str">
        <x:v>Diversified / strategy</x:v>
      </x:c>
      <x:c r="E140" s="5" t="str">
        <x:v>No specific industry mandate identified</x:v>
      </x:c>
      <x:c r="F140" s="5" t="str">
        <x:v>Fundamental / growth / quality</x:v>
      </x:c>
      <x:c r="G140" s="6" t="n">
        <x:v>21926</x:v>
      </x:c>
      <x:c r="H140" s="4" t="str">
        <x:v>High</x:v>
      </x:c>
      <x:c r="I140" s="4" t="str">
        <x:v>Fee based</x:v>
      </x:c>
      <x:c r="J140" s="6" t="n">
        <x:v>833</x:v>
      </x:c>
      <x:c r="K140" s="5" t="str">
        <x:v>Investing in India's growth through small &amp; mid-cap companies using the Scuttlebutt and Sarthi Model</x:v>
      </x:c>
      <x:c r="L140" s="5" t="str">
        <x:v>No sector tags assigned; see description</x:v>
      </x:c>
      <x:c r="M140" s="7" t="d">
        <x:v>2026-10-22T00:00:00.000Z</x:v>
      </x:c>
      <x:c r="N140" s="8" t="str">
        <x:v>https://www.smallcase.com/smallcase/amritkaal-folio-model-KRREMX_0001</x:v>
      </x:c>
      <x:c r="O140" s="4" t="str">
        <x:v>KRREMX_0001</x:v>
      </x:c>
      <x:c r="P140" s="5" t="str">
        <x:v>Diversified; sector mandate not specified</x:v>
      </x:c>
    </x:row>
    <x:row r="141" ht="60" customHeight="1">
      <x:c r="A141" s="4" t="n">
        <x:v>136</x:v>
      </x:c>
      <x:c r="B141" s="5" t="str">
        <x:v>EquiBoost Dynamic Model</x:v>
      </x:c>
      <x:c r="C141" s="5" t="str">
        <x:v>Equiboost Finserv Private Limited</x:v>
      </x:c>
      <x:c r="D141" s="5" t="str">
        <x:v>Diversified / strategy</x:v>
      </x:c>
      <x:c r="E141" s="5" t="str">
        <x:v>No specific industry mandate identified</x:v>
      </x:c>
      <x:c r="F141" s="5" t="str">
        <x:v>Fundamental / growth / quality</x:v>
      </x:c>
      <x:c r="G141" s="6" t="n">
        <x:v>12017</x:v>
      </x:c>
      <x:c r="H141" s="4" t="str">
        <x:v>High</x:v>
      </x:c>
      <x:c r="I141" s="4" t="str">
        <x:v>Fee based</x:v>
      </x:c>
      <x:c r="J141" s="6" t="n">
        <x:v>870</x:v>
      </x:c>
      <x:c r="K141" s="5" t="str">
        <x:v>A blend of fundamental strength, technical insights and quality stocks for long-term wealth creation</x:v>
      </x:c>
      <x:c r="L141" s="5" t="str">
        <x:v>No sector tags assigned; see description</x:v>
      </x:c>
      <x:c r="M141" s="7" t="d">
        <x:v>2026-10-19T00:00:00.000Z</x:v>
      </x:c>
      <x:c r="N141" s="8" t="str">
        <x:v>https://www.smallcase.com/smallcase/equiboost-dynamic-model-EBFSMX_0001</x:v>
      </x:c>
      <x:c r="O141" s="4" t="str">
        <x:v>EBFSMX_0001</x:v>
      </x:c>
      <x:c r="P141" s="5" t="str">
        <x:v>Diversified; sector mandate not specified</x:v>
      </x:c>
    </x:row>
    <x:row r="142" ht="60" customHeight="1">
      <x:c r="A142" s="4" t="n">
        <x:v>137</x:v>
      </x:c>
      <x:c r="B142" s="5" t="str">
        <x:v>CT Earnings Compounders Fundamental</x:v>
      </x:c>
      <x:c r="C142" s="5" t="str">
        <x:v>Thoughtful Investors Research LLP</x:v>
      </x:c>
      <x:c r="D142" s="5" t="str">
        <x:v>Diversified / strategy</x:v>
      </x:c>
      <x:c r="E142" s="5" t="str">
        <x:v>No specific industry mandate identified</x:v>
      </x:c>
      <x:c r="F142" s="5" t="str">
        <x:v>Fundamental / growth / quality</x:v>
      </x:c>
      <x:c r="G142" s="6" t="n">
        <x:v>59850</x:v>
      </x:c>
      <x:c r="H142" s="4" t="str">
        <x:v>High</x:v>
      </x:c>
      <x:c r="I142" s="4" t="str">
        <x:v>Fee based</x:v>
      </x:c>
      <x:c r="J142" s="6" t="n">
        <x:v>749</x:v>
      </x:c>
      <x:c r="K142" s="5" t="str">
        <x:v>A flexicap equity portfolio focused on Quality Businesses with strong future Compounding Prospects.</x:v>
      </x:c>
      <x:c r="L142" s="5" t="str">
        <x:v>No sector tags assigned; see description</x:v>
      </x:c>
      <x:c r="M142" s="7" t="d">
        <x:v>2026-09-02T00:00:00.000Z</x:v>
      </x:c>
      <x:c r="N142" s="8" t="str">
        <x:v>https://www.smallcase.com/smallcase/ct-earnings-compounders-fundamental-THIVFMM_0001</x:v>
      </x:c>
      <x:c r="O142" s="4" t="str">
        <x:v>THIVFMM_0001</x:v>
      </x:c>
      <x:c r="P142" s="5" t="str">
        <x:v>Diversified; sector mandate not specified</x:v>
      </x:c>
    </x:row>
    <x:row r="143" ht="60" customHeight="1">
      <x:c r="A143" s="4" t="n">
        <x:v>138</x:v>
      </x:c>
      <x:c r="B143" s="5" t="str">
        <x:v>Infinity ULTRA-High Risk High Reward- Quant</x:v>
      </x:c>
      <x:c r="C143" s="5" t="str">
        <x:v>Mojo Infinity</x:v>
      </x:c>
      <x:c r="D143" s="5" t="str">
        <x:v>Diversified / strategy</x:v>
      </x:c>
      <x:c r="E143" s="5" t="str">
        <x:v>No specific industry mandate identified</x:v>
      </x:c>
      <x:c r="F143" s="5" t="str">
        <x:v>Quant / factor</x:v>
      </x:c>
      <x:c r="G143" s="6" t="n">
        <x:v>200000</x:v>
      </x:c>
      <x:c r="H143" s="4" t="str">
        <x:v>High</x:v>
      </x:c>
      <x:c r="I143" s="4" t="str">
        <x:v>Fee based</x:v>
      </x:c>
      <x:c r="J143" s="6" t="n">
        <x:v>499</x:v>
      </x:c>
      <x:c r="K143" s="5" t="str">
        <x:v>A very high-risk portfolio built for investors ready to go big for maximum capital appreciation.</x:v>
      </x:c>
      <x:c r="L143" s="5" t="str">
        <x:v>No sector tags assigned; see description</x:v>
      </x:c>
      <x:c r="M143" s="7" t="d">
        <x:v>2026-08-18T00:00:00.000Z</x:v>
      </x:c>
      <x:c r="N143" s="8" t="str">
        <x:v>https://www.smallcase.com/smallcase/infinity-ultra-high-risk-high-reward-quant-MOJOQM_0010</x:v>
      </x:c>
      <x:c r="O143" s="4" t="str">
        <x:v>MOJOQM_0010</x:v>
      </x:c>
      <x:c r="P143" s="5" t="str">
        <x:v>Diversified; sector mandate not specified</x:v>
      </x:c>
    </x:row>
    <x:row r="144" ht="60" customHeight="1">
      <x:c r="A144" s="4" t="n">
        <x:v>139</x:v>
      </x:c>
      <x:c r="B144" s="5" t="str">
        <x:v>CT Pharma &amp; Hospitals Megatrend Theme</x:v>
      </x:c>
      <x:c r="C144" s="5" t="str">
        <x:v>CA Tapan Doshi</x:v>
      </x:c>
      <x:c r="D144" s="5" t="str">
        <x:v>Sector / industry theme</x:v>
      </x:c>
      <x:c r="E144" s="5" t="str">
        <x:v>Pharma &amp; healthcare</x:v>
      </x:c>
      <x:c r="F144" s="5" t="str">
        <x:v>Fundamental / growth / quality</x:v>
      </x:c>
      <x:c r="G144" s="6" t="n">
        <x:v>35274</x:v>
      </x:c>
      <x:c r="H144" s="4" t="str">
        <x:v>High</x:v>
      </x:c>
      <x:c r="I144" s="4" t="str">
        <x:v>Fee based</x:v>
      </x:c>
      <x:c r="J144" s="6" t="n">
        <x:v>749</x:v>
      </x:c>
      <x:c r="K144" s="5" t="str">
        <x:v>Investing in leading pharma and hospital companies benefiting from India's Big healthcare growth</x:v>
      </x:c>
      <x:c r="L144" s="5" t="str">
        <x:v>Title and listing description</x:v>
      </x:c>
      <x:c r="M144" s="7"/>
      <x:c r="N144" s="8" t="str">
        <x:v>https://www.smallcase.com/smallcase/ct-pharma-and-hospitals-megatrend-theme-THIVNM_0003</x:v>
      </x:c>
      <x:c r="O144" s="4" t="str">
        <x:v>THIVNM_0003</x:v>
      </x:c>
      <x:c r="P144" s="5" t="str"/>
    </x:row>
    <x:row r="145" ht="60" customHeight="1">
      <x:c r="A145" s="4" t="n">
        <x:v>140</x:v>
      </x:c>
      <x:c r="B145" s="5" t="str">
        <x:v>Zero Debt Quality Model</x:v>
      </x:c>
      <x:c r="C145" s="5" t="str">
        <x:v>Windmill Capital</x:v>
      </x:c>
      <x:c r="D145" s="5" t="str">
        <x:v>Diversified / strategy</x:v>
      </x:c>
      <x:c r="E145" s="5" t="str">
        <x:v>No specific industry mandate identified</x:v>
      </x:c>
      <x:c r="F145" s="5" t="str">
        <x:v>Fundamental / growth / quality</x:v>
      </x:c>
      <x:c r="G145" s="6" t="n">
        <x:v>53566</x:v>
      </x:c>
      <x:c r="H145" s="4" t="str">
        <x:v>High</x:v>
      </x:c>
      <x:c r="I145" s="4" t="str">
        <x:v>Free access</x:v>
      </x:c>
      <x:c r="J145" s="6"/>
      <x:c r="K145" s="5" t="str">
        <x:v>Zero debt, high ROE companies with an established track record of high earnings growth</x:v>
      </x:c>
      <x:c r="L145" s="5" t="str">
        <x:v>No sector tags assigned; see description</x:v>
      </x:c>
      <x:c r="M145" s="7" t="d">
        <x:v>2026-09-16T00:00:00.000Z</x:v>
      </x:c>
      <x:c r="N145" s="8" t="str">
        <x:v>https://www.smallcase.com/smallcase/zero-debt-SCMO_0027</x:v>
      </x:c>
      <x:c r="O145" s="4" t="str">
        <x:v>SCMO_0027</x:v>
      </x:c>
      <x:c r="P145" s="5" t="str">
        <x:v>Diversified; sector mandate not specified</x:v>
      </x:c>
    </x:row>
    <x:row r="146" ht="60" customHeight="1">
      <x:c r="A146" s="4" t="n">
        <x:v>141</x:v>
      </x:c>
      <x:c r="B146" s="5" t="str">
        <x:v>Mi MT Allcap Momentum Model</x:v>
      </x:c>
      <x:c r="C146" s="5" t="str">
        <x:v>Weekend Investing</x:v>
      </x:c>
      <x:c r="D146" s="5" t="str">
        <x:v>Diversified / strategy</x:v>
      </x:c>
      <x:c r="E146" s="5" t="str">
        <x:v>No specific industry mandate identified</x:v>
      </x:c>
      <x:c r="F146" s="5" t="str">
        <x:v>Momentum / trend</x:v>
      </x:c>
      <x:c r="G146" s="6" t="n">
        <x:v>172611</x:v>
      </x:c>
      <x:c r="H146" s="4" t="str">
        <x:v>High</x:v>
      </x:c>
      <x:c r="I146" s="4" t="str">
        <x:v>Fee based</x:v>
      </x:c>
      <x:c r="J146" s="6" t="n">
        <x:v>1666</x:v>
      </x:c>
      <x:c r="K146" s="5" t="str">
        <x:v>20 strong stocks among all highly liquid NSE stocks | Long Term Compounding | Weekly rebalanced</x:v>
      </x:c>
      <x:c r="L146" s="5" t="str">
        <x:v>No sector tags assigned; see description</x:v>
      </x:c>
      <x:c r="M146" s="7" t="d">
        <x:v>2026-10-26T00:00:00.000Z</x:v>
      </x:c>
      <x:c r="N146" s="8" t="str">
        <x:v>https://www.smallcase.com/smallcase/mi_mt_allcap-WKIMO_0004</x:v>
      </x:c>
      <x:c r="O146" s="4" t="str">
        <x:v>WKIMO_0004</x:v>
      </x:c>
      <x:c r="P146" s="5" t="str">
        <x:v>Diversified; sector mandate not specified</x:v>
      </x:c>
    </x:row>
    <x:row r="147" ht="60" customHeight="1">
      <x:c r="A147" s="4" t="n">
        <x:v>142</x:v>
      </x:c>
      <x:c r="B147" s="5" t="str">
        <x:v>21G Trend Rider Quant</x:v>
      </x:c>
      <x:c r="C147" s="5" t="str">
        <x:v>21G Investments </x:v>
      </x:c>
      <x:c r="D147" s="5" t="str">
        <x:v>Diversified / strategy</x:v>
      </x:c>
      <x:c r="E147" s="5" t="str">
        <x:v>No specific industry mandate identified</x:v>
      </x:c>
      <x:c r="F147" s="5" t="str">
        <x:v>Quant / factor</x:v>
      </x:c>
      <x:c r="G147" s="6" t="n">
        <x:v>35000</x:v>
      </x:c>
      <x:c r="H147" s="4" t="str">
        <x:v>High</x:v>
      </x:c>
      <x:c r="I147" s="4" t="str">
        <x:v>Fee based</x:v>
      </x:c>
      <x:c r="J147" s="6" t="n">
        <x:v>833</x:v>
      </x:c>
      <x:c r="K147" s="5" t="str">
        <x:v>Ride market trends. Step aside when risk rises.</x:v>
      </x:c>
      <x:c r="L147" s="5" t="str">
        <x:v>No sector tags assigned; see description</x:v>
      </x:c>
      <x:c r="M147" s="7" t="d">
        <x:v>2026-10-07T00:00:00.000Z</x:v>
      </x:c>
      <x:c r="N147" s="8" t="str">
        <x:v>https://www.smallcase.com/smallcase/21g-trend-rider-TGIMO_0005</x:v>
      </x:c>
      <x:c r="O147" s="4" t="str">
        <x:v>TGIMO_0005</x:v>
      </x:c>
      <x:c r="P147" s="5" t="str">
        <x:v>Diversified; sector mandate not specified</x:v>
      </x:c>
    </x:row>
    <x:row r="148" ht="60" customHeight="1">
      <x:c r="A148" s="4" t="n">
        <x:v>143</x:v>
      </x:c>
      <x:c r="B148" s="5" t="str">
        <x:v>Value &amp; Momentum - Asset Allocation Model</x:v>
      </x:c>
      <x:c r="C148" s="5" t="str">
        <x:v>Windmill Capital</x:v>
      </x:c>
      <x:c r="D148" s="5" t="str">
        <x:v>Asset allocation / target date</x:v>
      </x:c>
      <x:c r="E148" s="5" t="str">
        <x:v>No specific industry mandate identified</x:v>
      </x:c>
      <x:c r="F148" s="5" t="str">
        <x:v>Asset allocation</x:v>
      </x:c>
      <x:c r="G148" s="6" t="n">
        <x:v>40316</x:v>
      </x:c>
      <x:c r="H148" s="4" t="str">
        <x:v>High</x:v>
      </x:c>
      <x:c r="I148" s="4" t="str">
        <x:v>Fee based</x:v>
      </x:c>
      <x:c r="J148" s="6" t="n">
        <x:v>1075</x:v>
      </x:c>
      <x:c r="K148" s="5" t="str">
        <x:v>Positive momentum stocks available at a discount along with diversification benefits of gold &amp; debt</x:v>
      </x:c>
      <x:c r="L148" s="5" t="str">
        <x:v>No sector tags assigned; see description</x:v>
      </x:c>
      <x:c r="M148" s="7" t="d">
        <x:v>2026-10-26T00:00:00.000Z</x:v>
      </x:c>
      <x:c r="N148" s="8" t="str">
        <x:v>https://www.smallcase.com/smallcase/value-and-momentum-asset-allocation-version-SCMO_0044</x:v>
      </x:c>
      <x:c r="O148" s="4" t="str">
        <x:v>SCMO_0044</x:v>
      </x:c>
      <x:c r="P148" s="5" t="str">
        <x:v>Asset allocation / target date</x:v>
      </x:c>
    </x:row>
    <x:row r="149" ht="60" customHeight="1">
      <x:c r="A149" s="4" t="n">
        <x:v>144</x:v>
      </x:c>
      <x:c r="B149" s="5" t="str">
        <x:v>Pharma Stars Tracker</x:v>
      </x:c>
      <x:c r="C149" s="5" t="str">
        <x:v>Quantace Research</x:v>
      </x:c>
      <x:c r="D149" s="5" t="str">
        <x:v>Sector / industry theme</x:v>
      </x:c>
      <x:c r="E149" s="5" t="str">
        <x:v>Pharma &amp; healthcare</x:v>
      </x:c>
      <x:c r="F149" s="5" t="str">
        <x:v>Fundamental / growth / quality</x:v>
      </x:c>
      <x:c r="G149" s="6" t="n">
        <x:v>18378</x:v>
      </x:c>
      <x:c r="H149" s="4" t="str">
        <x:v>High</x:v>
      </x:c>
      <x:c r="I149" s="4" t="str">
        <x:v>Fee based</x:v>
      </x:c>
      <x:c r="J149" s="6" t="n">
        <x:v>675</x:v>
      </x:c>
      <x:c r="K149" s="5" t="str">
        <x:v>Designed to tap into the dynamic and resilient growth potential of the pharmaceutical and healthcare</x:v>
      </x:c>
      <x:c r="L149" s="5" t="str">
        <x:v>Title and listing description</x:v>
      </x:c>
      <x:c r="M149" s="7" t="d">
        <x:v>2026-10-26T00:00:00.000Z</x:v>
      </x:c>
      <x:c r="N149" s="8" t="str">
        <x:v>https://www.smallcase.com/smallcase/pharma-ace-stars-QURETR_0006</x:v>
      </x:c>
      <x:c r="O149" s="4" t="str">
        <x:v>QURETR_0006</x:v>
      </x:c>
      <x:c r="P149" s="5" t="str"/>
    </x:row>
    <x:row r="150" ht="60" customHeight="1">
      <x:c r="A150" s="4" t="n">
        <x:v>145</x:v>
      </x:c>
      <x:c r="B150" s="5" t="str">
        <x:v>VS Emerging Winners Fundamental</x:v>
      </x:c>
      <x:c r="C150" s="5" t="str">
        <x:v>Value Stocks</x:v>
      </x:c>
      <x:c r="D150" s="5" t="str">
        <x:v>Diversified / strategy</x:v>
      </x:c>
      <x:c r="E150" s="5" t="str">
        <x:v>No specific industry mandate identified</x:v>
      </x:c>
      <x:c r="F150" s="5" t="str">
        <x:v>Fundamental / growth / quality</x:v>
      </x:c>
      <x:c r="G150" s="6" t="n">
        <x:v>250000</x:v>
      </x:c>
      <x:c r="H150" s="4" t="str">
        <x:v>High</x:v>
      </x:c>
      <x:c r="I150" s="4" t="str">
        <x:v>Not shown</x:v>
      </x:c>
      <x:c r="J150" s="6"/>
      <x:c r="K150" s="5" t="str">
        <x:v>This Strategy has quality small cap stocks with high Sales &amp; Profit growth and low valuation.</x:v>
      </x:c>
      <x:c r="L150" s="5" t="str">
        <x:v>No sector tags assigned; see description</x:v>
      </x:c>
      <x:c r="M150" s="7" t="d">
        <x:v>2026-10-07T00:00:00.000Z</x:v>
      </x:c>
      <x:c r="N150" s="8" t="str">
        <x:v>https://www.smallcase.com/smallcase/smallcap-growth-strategy-VLSMO_0028</x:v>
      </x:c>
      <x:c r="O150" s="4" t="str">
        <x:v>VLSMO_0028</x:v>
      </x:c>
      <x:c r="P150" s="5" t="str">
        <x:v>Diversified; sector mandate not specified</x:v>
      </x:c>
    </x:row>
    <x:row r="151" ht="60" customHeight="1">
      <x:c r="A151" s="4" t="n">
        <x:v>146</x:v>
      </x:c>
      <x:c r="B151" s="5" t="str">
        <x:v>Omni Super Dividend - High Income Fundamental</x:v>
      </x:c>
      <x:c r="C151" s="5" t="str">
        <x:v>Omniscience Capital</x:v>
      </x:c>
      <x:c r="D151" s="5" t="str">
        <x:v>Diversified / strategy</x:v>
      </x:c>
      <x:c r="E151" s="5" t="str">
        <x:v>No specific industry mandate identified</x:v>
      </x:c>
      <x:c r="F151" s="5" t="str">
        <x:v>Dividend / income</x:v>
      </x:c>
      <x:c r="G151" s="6" t="n">
        <x:v>73864</x:v>
      </x:c>
      <x:c r="H151" s="4" t="str">
        <x:v>High</x:v>
      </x:c>
      <x:c r="I151" s="4" t="str">
        <x:v>Fee based</x:v>
      </x:c>
      <x:c r="J151" s="6" t="n">
        <x:v>1075</x:v>
      </x:c>
      <x:c r="K151" s="5" t="str">
        <x:v>Portfolio of SuperNormal companies paying Dividends.</x:v>
      </x:c>
      <x:c r="L151" s="5" t="str">
        <x:v>No sector tags assigned; see description</x:v>
      </x:c>
      <x:c r="M151" s="7" t="d">
        <x:v>2026-09-17T00:00:00.000Z</x:v>
      </x:c>
      <x:c r="N151" s="8" t="str">
        <x:v>https://www.smallcase.com/smallcase/omni-super-dividend-high-income-portfolio-OMNMO_0024</x:v>
      </x:c>
      <x:c r="O151" s="4" t="str">
        <x:v>OMNMO_0024</x:v>
      </x:c>
      <x:c r="P151" s="5" t="str">
        <x:v>Diversified; sector mandate not specified</x:v>
      </x:c>
    </x:row>
    <x:row r="152" ht="60" customHeight="1">
      <x:c r="A152" s="4" t="n">
        <x:v>147</x:v>
      </x:c>
      <x:c r="B152" s="5" t="str">
        <x:v>21G Long Term Wealth Creation Quant</x:v>
      </x:c>
      <x:c r="C152" s="5" t="str">
        <x:v>21G Investments </x:v>
      </x:c>
      <x:c r="D152" s="5" t="str">
        <x:v>Diversified / strategy</x:v>
      </x:c>
      <x:c r="E152" s="5" t="str">
        <x:v>No specific industry mandate identified</x:v>
      </x:c>
      <x:c r="F152" s="5" t="str">
        <x:v>Quant / factor</x:v>
      </x:c>
      <x:c r="G152" s="6" t="n">
        <x:v>33408</x:v>
      </x:c>
      <x:c r="H152" s="4" t="str">
        <x:v>High</x:v>
      </x:c>
      <x:c r="I152" s="4" t="str">
        <x:v>Fee based</x:v>
      </x:c>
      <x:c r="J152" s="6" t="n">
        <x:v>833</x:v>
      </x:c>
      <x:c r="K152" s="5" t="str">
        <x:v>Strong in tough times but Steady in long run.</x:v>
      </x:c>
      <x:c r="L152" s="5" t="str">
        <x:v>No sector tags assigned; see description</x:v>
      </x:c>
      <x:c r="M152" s="7" t="d">
        <x:v>2026-08-25T00:00:00.000Z</x:v>
      </x:c>
      <x:c r="N152" s="8" t="str">
        <x:v>https://www.smallcase.com/smallcase/21g-long-term-wealth-creation-TGIMO_0003</x:v>
      </x:c>
      <x:c r="O152" s="4" t="str">
        <x:v>TGIMO_0003</x:v>
      </x:c>
      <x:c r="P152" s="5" t="str">
        <x:v>Diversified; sector mandate not specified</x:v>
      </x:c>
    </x:row>
    <x:row r="153" ht="60" customHeight="1">
      <x:c r="A153" s="4" t="n">
        <x:v>148</x:v>
      </x:c>
      <x:c r="B153" s="5" t="str">
        <x:v>ViniyogIndia Chameleon Quant</x:v>
      </x:c>
      <x:c r="C153" s="5" t="str">
        <x:v>ViniyogIndia</x:v>
      </x:c>
      <x:c r="D153" s="5" t="str">
        <x:v>Diversified / strategy</x:v>
      </x:c>
      <x:c r="E153" s="5" t="str">
        <x:v>No specific industry mandate identified</x:v>
      </x:c>
      <x:c r="F153" s="5" t="str">
        <x:v>Quant / factor</x:v>
      </x:c>
      <x:c r="G153" s="6" t="n">
        <x:v>136827</x:v>
      </x:c>
      <x:c r="H153" s="4" t="str">
        <x:v>High</x:v>
      </x:c>
      <x:c r="I153" s="4" t="str">
        <x:v>Fee based</x:v>
      </x:c>
      <x:c r="J153" s="6" t="n">
        <x:v>666</x:v>
      </x:c>
      <x:c r="K153" s="5" t="str">
        <x:v>Adaptive multifactor strategy that realigns with changing market conditions</x:v>
      </x:c>
      <x:c r="L153" s="5" t="str">
        <x:v>No sector tags assigned; see description</x:v>
      </x:c>
      <x:c r="M153" s="7" t="d">
        <x:v>2026-10-06T00:00:00.000Z</x:v>
      </x:c>
      <x:c r="N153" s="8" t="str">
        <x:v>https://www.smallcase.com/smallcase/viniyogindiachameleon-VIYIMO_0006</x:v>
      </x:c>
      <x:c r="O153" s="4" t="str">
        <x:v>VIYIMO_0006</x:v>
      </x:c>
      <x:c r="P153" s="5" t="str">
        <x:v>Diversified; sector mandate not specified</x:v>
      </x:c>
    </x:row>
    <x:row r="154" ht="60" customHeight="1">
      <x:c r="A154" s="4" t="n">
        <x:v>149</x:v>
      </x:c>
      <x:c r="B154" s="5" t="str">
        <x:v>Smart ETF Asset Allocation</x:v>
      </x:c>
      <x:c r="C154" s="5" t="str">
        <x:v>Compound Everyday Capital</x:v>
      </x:c>
      <x:c r="D154" s="5" t="str">
        <x:v>Asset allocation / target date</x:v>
      </x:c>
      <x:c r="E154" s="5" t="str">
        <x:v>No specific industry mandate identified</x:v>
      </x:c>
      <x:c r="F154" s="5" t="str">
        <x:v>Asset allocation</x:v>
      </x:c>
      <x:c r="G154" s="6" t="n">
        <x:v>3042</x:v>
      </x:c>
      <x:c r="H154" s="4" t="str">
        <x:v>Medium</x:v>
      </x:c>
      <x:c r="I154" s="4" t="str">
        <x:v>Fee based</x:v>
      </x:c>
      <x:c r="J154" s="6" t="n">
        <x:v>258</x:v>
      </x:c>
      <x:c r="K154" s="5" t="str">
        <x:v>Smart portfolio of multi-asset ETFs for earning market returns at low volatility and cost.</x:v>
      </x:c>
      <x:c r="L154" s="5" t="str">
        <x:v>No sector tags assigned; see description</x:v>
      </x:c>
      <x:c r="M154" s="7" t="d">
        <x:v>2026-09-22T00:00:00.000Z</x:v>
      </x:c>
      <x:c r="N154" s="8" t="str">
        <x:v>https://www.smallcase.com/smallcase/multi-asset-smart-etf-CEDET_0001</x:v>
      </x:c>
      <x:c r="O154" s="4" t="str">
        <x:v>CEDET_0001</x:v>
      </x:c>
      <x:c r="P154" s="5" t="str">
        <x:v>Asset allocation / target date</x:v>
      </x:c>
    </x:row>
    <x:row r="155" ht="60" customHeight="1">
      <x:c r="A155" s="4" t="n">
        <x:v>150</x:v>
      </x:c>
      <x:c r="B155" s="5" t="str">
        <x:v>Wright New India Manufacturing Theme</x:v>
      </x:c>
      <x:c r="C155" s="5" t="str">
        <x:v>Wright Research</x:v>
      </x:c>
      <x:c r="D155" s="5" t="str">
        <x:v>Sector / industry theme</x:v>
      </x:c>
      <x:c r="E155" s="5" t="str">
        <x:v>Manufacturing &amp; industrials</x:v>
      </x:c>
      <x:c r="F155" s="5" t="str">
        <x:v>Other / not specified</x:v>
      </x:c>
      <x:c r="G155" s="6" t="n">
        <x:v>58989</x:v>
      </x:c>
      <x:c r="H155" s="4" t="str">
        <x:v>High</x:v>
      </x:c>
      <x:c r="I155" s="4" t="str">
        <x:v>Fee based</x:v>
      </x:c>
      <x:c r="J155" s="6" t="n">
        <x:v>600</x:v>
      </x:c>
      <x:c r="K155" s="5" t="str">
        <x:v>Unleash the True Potential of a Rising Nation!</x:v>
      </x:c>
      <x:c r="L155" s="5" t="str">
        <x:v>Title and listing description</x:v>
      </x:c>
      <x:c r="M155" s="7" t="d">
        <x:v>2026-10-26T00:00:00.000Z</x:v>
      </x:c>
      <x:c r="N155" s="8" t="str">
        <x:v>https://www.smallcase.com/smallcase/wright-new-india-WRTNM_0003</x:v>
      </x:c>
      <x:c r="O155" s="4" t="str">
        <x:v>WRTNM_0003</x:v>
      </x:c>
      <x:c r="P155" s="5" t="str"/>
    </x:row>
    <x:row r="156" ht="60" customHeight="1">
      <x:c r="A156" s="4" t="n">
        <x:v>151</x:v>
      </x:c>
      <x:c r="B156" s="5" t="str">
        <x:v>BM Vision 2030 Fundamental</x:v>
      </x:c>
      <x:c r="C156" s="5" t="str">
        <x:v>Basant Maheshwari Investing</x:v>
      </x:c>
      <x:c r="D156" s="5" t="str">
        <x:v>Diversified / strategy</x:v>
      </x:c>
      <x:c r="E156" s="5" t="str">
        <x:v>No specific industry mandate identified</x:v>
      </x:c>
      <x:c r="F156" s="5" t="str">
        <x:v>Fundamental / growth / quality</x:v>
      </x:c>
      <x:c r="G156" s="6" t="n">
        <x:v>49677</x:v>
      </x:c>
      <x:c r="H156" s="4" t="str">
        <x:v>High</x:v>
      </x:c>
      <x:c r="I156" s="4" t="str">
        <x:v>Fee based</x:v>
      </x:c>
      <x:c r="J156" s="6" t="n">
        <x:v>4916</x:v>
      </x:c>
      <x:c r="K156" s="5" t="str">
        <x:v>This portfolio will participate in the megatrends that have and will emerge over the next decade.</x:v>
      </x:c>
      <x:c r="L156" s="5" t="str">
        <x:v>No sector tags assigned; see description</x:v>
      </x:c>
      <x:c r="M156" s="7" t="d">
        <x:v>2026-09-28T00:00:00.000Z</x:v>
      </x:c>
      <x:c r="N156" s="8" t="str">
        <x:v>https://www.smallcase.com/smallcase/bm-vision-2030-smallcase-BAMIMO_0004</x:v>
      </x:c>
      <x:c r="O156" s="4" t="str">
        <x:v>BAMIMO_0004</x:v>
      </x:c>
      <x:c r="P156" s="5" t="str">
        <x:v>Diversified; sector mandate not specified</x:v>
      </x:c>
    </x:row>
    <x:row r="157" ht="60" customHeight="1">
      <x:c r="A157" s="4" t="n">
        <x:v>152</x:v>
      </x:c>
      <x:c r="B157" s="5" t="str">
        <x:v>Alpha Momentum Model</x:v>
      </x:c>
      <x:c r="C157" s="5" t="str">
        <x:v>Livelong Wealth</x:v>
      </x:c>
      <x:c r="D157" s="5" t="str">
        <x:v>Diversified / strategy</x:v>
      </x:c>
      <x:c r="E157" s="5" t="str">
        <x:v>No specific industry mandate identified</x:v>
      </x:c>
      <x:c r="F157" s="5" t="str">
        <x:v>Momentum / trend</x:v>
      </x:c>
      <x:c r="G157" s="6" t="n">
        <x:v>25000</x:v>
      </x:c>
      <x:c r="H157" s="4" t="str">
        <x:v>Medium</x:v>
      </x:c>
      <x:c r="I157" s="4" t="str">
        <x:v>Fee based</x:v>
      </x:c>
      <x:c r="J157" s="6" t="n">
        <x:v>783</x:v>
      </x:c>
      <x:c r="K157" s="5" t="str">
        <x:v>Momentum-driven, low-risk, high-reward portfolio that picks top-performing stocks from nifty250</x:v>
      </x:c>
      <x:c r="L157" s="5" t="str">
        <x:v>No sector tags assigned; see description</x:v>
      </x:c>
      <x:c r="M157" s="7" t="d">
        <x:v>2026-10-28T00:00:00.000Z</x:v>
      </x:c>
      <x:c r="N157" s="8" t="str">
        <x:v>https://www.smallcase.com/smallcase/alpha-momentum-LIWEMO_0003</x:v>
      </x:c>
      <x:c r="O157" s="4" t="str">
        <x:v>LIWEMO_0003</x:v>
      </x:c>
      <x:c r="P157" s="5" t="str">
        <x:v>Diversified; sector mandate not specified</x:v>
      </x:c>
    </x:row>
    <x:row r="158" ht="60" customHeight="1">
      <x:c r="A158" s="4" t="n">
        <x:v>153</x:v>
      </x:c>
      <x:c r="B158" s="5" t="str">
        <x:v>Niveshaay Consumer Trends Portfolio Theme</x:v>
      </x:c>
      <x:c r="C158" s="5" t="str">
        <x:v>Niveshaay</x:v>
      </x:c>
      <x:c r="D158" s="5" t="str">
        <x:v>Sector / industry theme</x:v>
      </x:c>
      <x:c r="E158" s="5" t="str">
        <x:v>Consumer, FMCG &amp; durables</x:v>
      </x:c>
      <x:c r="F158" s="5" t="str">
        <x:v>Other / not specified</x:v>
      </x:c>
      <x:c r="G158" s="6" t="n">
        <x:v>101135</x:v>
      </x:c>
      <x:c r="H158" s="4" t="str">
        <x:v>High</x:v>
      </x:c>
      <x:c r="I158" s="4" t="str">
        <x:v>Fee based</x:v>
      </x:c>
      <x:c r="J158" s="6" t="n">
        <x:v>800</x:v>
      </x:c>
      <x:c r="K158" s="5" t="str">
        <x:v>Invest in India's Great Consumption Boom.</x:v>
      </x:c>
      <x:c r="L158" s="5" t="str">
        <x:v>Title and listing description</x:v>
      </x:c>
      <x:c r="M158" s="7" t="d">
        <x:v>2026-09-25T00:00:00.000Z</x:v>
      </x:c>
      <x:c r="N158" s="8" t="str">
        <x:v>https://www.smallcase.com/smallcase/amrit-kaal-of-consumption-NIVNM_0002</x:v>
      </x:c>
      <x:c r="O158" s="4" t="str">
        <x:v>NIVNM_0002</x:v>
      </x:c>
      <x:c r="P158" s="5" t="str"/>
    </x:row>
    <x:row r="159" ht="60" customHeight="1">
      <x:c r="A159" s="4" t="n">
        <x:v>154</x:v>
      </x:c>
      <x:c r="B159" s="5" t="str">
        <x:v>GoalFi Large Cap Balanced Multi Asset Model</x:v>
      </x:c>
      <x:c r="C159" s="5" t="str">
        <x:v>GoalFi</x:v>
      </x:c>
      <x:c r="D159" s="5" t="str">
        <x:v>Asset allocation / target date</x:v>
      </x:c>
      <x:c r="E159" s="5" t="str">
        <x:v>No specific industry mandate identified</x:v>
      </x:c>
      <x:c r="F159" s="5" t="str">
        <x:v>Asset allocation</x:v>
      </x:c>
      <x:c r="G159" s="6" t="n">
        <x:v>250000</x:v>
      </x:c>
      <x:c r="H159" s="4" t="str">
        <x:v>High</x:v>
      </x:c>
      <x:c r="I159" s="4" t="str">
        <x:v>Fee based</x:v>
      </x:c>
      <x:c r="J159" s="6" t="n">
        <x:v>1000</x:v>
      </x:c>
      <x:c r="K159" s="5" t="str">
        <x:v>A 9-instrument multi-asset portfolio across equity, gold, silver and debt, reviewed quarterly.</x:v>
      </x:c>
      <x:c r="L159" s="5" t="str">
        <x:v>No sector tags assigned; see description</x:v>
      </x:c>
      <x:c r="M159" s="7" t="d">
        <x:v>2026-06-24T00:00:00.000Z</x:v>
      </x:c>
      <x:c r="N159" s="8" t="str">
        <x:v>https://www.smallcase.com/smallcase/balanced-basket-steady-gains-GOALMO_0075</x:v>
      </x:c>
      <x:c r="O159" s="4" t="str">
        <x:v>GOALMO_0075</x:v>
      </x:c>
      <x:c r="P159" s="5" t="str">
        <x:v>Asset allocation / target date</x:v>
      </x:c>
    </x:row>
    <x:row r="160" ht="60" customHeight="1">
      <x:c r="A160" s="4" t="n">
        <x:v>155</x:v>
      </x:c>
      <x:c r="B160" s="5" t="str">
        <x:v>GDR - Green Energy, Defense, Railway Theme</x:v>
      </x:c>
      <x:c r="C160" s="5" t="str">
        <x:v>Green Portfolio</x:v>
      </x:c>
      <x:c r="D160" s="5" t="str">
        <x:v>Sector / industry theme</x:v>
      </x:c>
      <x:c r="E160" s="5" t="str">
        <x:v>Defence &amp; aerospace; Renewables, clean energy &amp; recycling; Railways</x:v>
      </x:c>
      <x:c r="F160" s="5" t="str">
        <x:v>Other / not specified</x:v>
      </x:c>
      <x:c r="G160" s="6" t="n">
        <x:v>164991</x:v>
      </x:c>
      <x:c r="H160" s="4" t="str">
        <x:v>High</x:v>
      </x:c>
      <x:c r="I160" s="4" t="str">
        <x:v>Fee based</x:v>
      </x:c>
      <x:c r="J160" s="6" t="n">
        <x:v>590</x:v>
      </x:c>
      <x:c r="K160" s="5" t="str">
        <x:v>The best of defense, railway, and green energy companies in the portfolio that grows with India.</x:v>
      </x:c>
      <x:c r="L160" s="5" t="str">
        <x:v>Title and listing description</x:v>
      </x:c>
      <x:c r="M160" s="7" t="d">
        <x:v>2026-05-07T00:00:00.000Z</x:v>
      </x:c>
      <x:c r="N160" s="8" t="str">
        <x:v>https://www.smallcase.com/smallcase/gdr-opportunities:-green-energy-railway-defense-GPRNM_0011</x:v>
      </x:c>
      <x:c r="O160" s="4" t="str">
        <x:v>GPRNM_0011</x:v>
      </x:c>
      <x:c r="P160" s="5" t="str"/>
    </x:row>
    <x:row r="161" ht="60" customHeight="1">
      <x:c r="A161" s="4" t="n">
        <x:v>156</x:v>
      </x:c>
      <x:c r="B161" s="5" t="str">
        <x:v>Large Cap Value Fundamental</x:v>
      </x:c>
      <x:c r="C161" s="5" t="str">
        <x:v>Green Portfolio</x:v>
      </x:c>
      <x:c r="D161" s="5" t="str">
        <x:v>Diversified / strategy</x:v>
      </x:c>
      <x:c r="E161" s="5" t="str">
        <x:v>No specific industry mandate identified</x:v>
      </x:c>
      <x:c r="F161" s="5" t="str">
        <x:v>Value / contrarian</x:v>
      </x:c>
      <x:c r="G161" s="6" t="n">
        <x:v>262076</x:v>
      </x:c>
      <x:c r="H161" s="4" t="str">
        <x:v>High</x:v>
      </x:c>
      <x:c r="I161" s="4" t="str">
        <x:v>Fee based</x:v>
      </x:c>
      <x:c r="J161" s="6" t="n">
        <x:v>590</x:v>
      </x:c>
      <x:c r="K161" s="5" t="str">
        <x:v>Undervalued large-caps with strong fundamentals, steady growth, and curated sector mix.</x:v>
      </x:c>
      <x:c r="L161" s="5" t="str">
        <x:v>No sector tags assigned; see description</x:v>
      </x:c>
      <x:c r="M161" s="7" t="d">
        <x:v>2026-08-10T00:00:00.000Z</x:v>
      </x:c>
      <x:c r="N161" s="8" t="str">
        <x:v>https://www.smallcase.com/smallcase/large-cap-value-fundamental-GPRFMM_0001</x:v>
      </x:c>
      <x:c r="O161" s="4" t="str">
        <x:v>GPRFMM_0001</x:v>
      </x:c>
      <x:c r="P161" s="5" t="str">
        <x:v>Diversified; sector mandate not specified</x:v>
      </x:c>
    </x:row>
    <x:row r="162" ht="60" customHeight="1">
      <x:c r="A162" s="4" t="n">
        <x:v>157</x:v>
      </x:c>
      <x:c r="B162" s="5" t="str">
        <x:v>Samvat 2082 Asset Allocation</x:v>
      </x:c>
      <x:c r="C162" s="5" t="str">
        <x:v>Green Portfolio</x:v>
      </x:c>
      <x:c r="D162" s="5" t="str">
        <x:v>Asset allocation / target date</x:v>
      </x:c>
      <x:c r="E162" s="5" t="str">
        <x:v>No specific industry mandate identified</x:v>
      </x:c>
      <x:c r="F162" s="5" t="str">
        <x:v>Asset allocation</x:v>
      </x:c>
      <x:c r="G162" s="6" t="n">
        <x:v>23824</x:v>
      </x:c>
      <x:c r="H162" s="4" t="str">
        <x:v>High</x:v>
      </x:c>
      <x:c r="I162" s="4" t="str">
        <x:v>Fee based</x:v>
      </x:c>
      <x:c r="J162" s="6" t="n">
        <x:v>333</x:v>
      </x:c>
      <x:c r="K162" s="5" t="str">
        <x:v>Invest smartly in gold, silver &amp; India’s growth story this Samvat.</x:v>
      </x:c>
      <x:c r="L162" s="5" t="str">
        <x:v>No sector tags assigned; see description</x:v>
      </x:c>
      <x:c r="M162" s="7" t="d">
        <x:v>2026-07-01T00:00:00.000Z</x:v>
      </x:c>
      <x:c r="N162" s="8" t="str">
        <x:v>https://www.smallcase.com/smallcase/samvat-2082-fundamental-GPRFMM_0002</x:v>
      </x:c>
      <x:c r="O162" s="4" t="str">
        <x:v>GPRFMM_0002</x:v>
      </x:c>
      <x:c r="P162" s="5" t="str">
        <x:v>Asset allocation / target date</x:v>
      </x:c>
    </x:row>
    <x:row r="163" ht="60" customHeight="1">
      <x:c r="A163" s="4" t="n">
        <x:v>158</x:v>
      </x:c>
      <x:c r="B163" s="5" t="str">
        <x:v>SAMVAT STAYVAN Fundamental</x:v>
      </x:c>
      <x:c r="C163" s="5" t="str">
        <x:v>Stayvan</x:v>
      </x:c>
      <x:c r="D163" s="5" t="str">
        <x:v>Diversified / strategy</x:v>
      </x:c>
      <x:c r="E163" s="5" t="str">
        <x:v>No specific industry mandate identified</x:v>
      </x:c>
      <x:c r="F163" s="5" t="str">
        <x:v>Fundamental / growth / quality</x:v>
      </x:c>
      <x:c r="G163" s="6" t="n">
        <x:v>18993</x:v>
      </x:c>
      <x:c r="H163" s="4" t="str">
        <x:v>Medium</x:v>
      </x:c>
      <x:c r="I163" s="4" t="str">
        <x:v>Free access</x:v>
      </x:c>
      <x:c r="J163" s="6"/>
      <x:c r="K163" s="5" t="str">
        <x:v>A complimentary diversified equity portfolio curated for ongoing Samvat-to-Samvat participation.</x:v>
      </x:c>
      <x:c r="L163" s="5" t="str">
        <x:v>No sector tags assigned; see description</x:v>
      </x:c>
      <x:c r="M163" s="7" t="d">
        <x:v>2026-10-28T00:00:00.000Z</x:v>
      </x:c>
      <x:c r="N163" s="8" t="str">
        <x:v>https://www.smallcase.com/smallcase/samvat-2082-stayvan-model-SYVMX_0013</x:v>
      </x:c>
      <x:c r="O163" s="4" t="str">
        <x:v>SYVMX_0013</x:v>
      </x:c>
      <x:c r="P163" s="5" t="str">
        <x:v>Diversified; sector mandate not specified</x:v>
      </x:c>
    </x:row>
    <x:row r="164" ht="60" customHeight="1">
      <x:c r="A164" s="4" t="n">
        <x:v>159</x:v>
      </x:c>
      <x:c r="B164" s="5" t="str">
        <x:v>Bharat 2050 Growth Theme</x:v>
      </x:c>
      <x:c r="C164" s="5" t="str">
        <x:v>Shashank Sunil Udupa</x:v>
      </x:c>
      <x:c r="D164" s="5" t="str">
        <x:v>Diversified / strategy</x:v>
      </x:c>
      <x:c r="E164" s="5" t="str">
        <x:v>No specific industry mandate identified</x:v>
      </x:c>
      <x:c r="F164" s="5" t="str">
        <x:v>Fundamental / growth / quality</x:v>
      </x:c>
      <x:c r="G164" s="6" t="n">
        <x:v>84600</x:v>
      </x:c>
      <x:c r="H164" s="4" t="str">
        <x:v>High</x:v>
      </x:c>
      <x:c r="I164" s="4" t="str">
        <x:v>Fee based</x:v>
      </x:c>
      <x:c r="J164" s="6" t="n">
        <x:v>416</x:v>
      </x:c>
      <x:c r="K164" s="5" t="str">
        <x:v>The Future Winners of India With Strong Growth</x:v>
      </x:c>
      <x:c r="L164" s="5" t="str">
        <x:v>No sector tags assigned; see description</x:v>
      </x:c>
      <x:c r="M164" s="7" t="d">
        <x:v>2026-09-01T00:00:00.000Z</x:v>
      </x:c>
      <x:c r="N164" s="8" t="str">
        <x:v>https://www.smallcase.com/smallcase/bharat-2050-growth-theme-SKUPANM_0004</x:v>
      </x:c>
      <x:c r="O164" s="4" t="str">
        <x:v>SKUPANM_0004</x:v>
      </x:c>
      <x:c r="P164" s="5" t="str">
        <x:v>Innovation / emerging business themes</x:v>
      </x:c>
    </x:row>
    <x:row r="165" ht="60" customHeight="1">
      <x:c r="A165" s="4" t="n">
        <x:v>160</x:v>
      </x:c>
      <x:c r="B165" s="5" t="str">
        <x:v>Zen Nivesh Stock SIP in Microcaps Fundamental</x:v>
      </x:c>
      <x:c r="C165" s="5" t="str">
        <x:v>Zen Nivesh Advisors Private Limited</x:v>
      </x:c>
      <x:c r="D165" s="5" t="str">
        <x:v>Diversified / strategy</x:v>
      </x:c>
      <x:c r="E165" s="5" t="str">
        <x:v>No specific industry mandate identified</x:v>
      </x:c>
      <x:c r="F165" s="5" t="str">
        <x:v>Fundamental / growth / quality</x:v>
      </x:c>
      <x:c r="G165" s="6" t="n">
        <x:v>21878</x:v>
      </x:c>
      <x:c r="H165" s="4" t="str">
        <x:v>High</x:v>
      </x:c>
      <x:c r="I165" s="4" t="str">
        <x:v>Fee based</x:v>
      </x:c>
      <x:c r="J165" s="6" t="n">
        <x:v>983</x:v>
      </x:c>
      <x:c r="K165" s="5" t="str">
        <x:v>10-equal-weighted allocation in microcaps in SIP manner.</x:v>
      </x:c>
      <x:c r="L165" s="5" t="str">
        <x:v>No sector tags assigned; see description</x:v>
      </x:c>
      <x:c r="M165" s="7" t="d">
        <x:v>2026-09-11T00:00:00.000Z</x:v>
      </x:c>
      <x:c r="N165" s="8" t="str">
        <x:v>https://www.smallcase.com/smallcase/zen-nivesh-stock-sip-in-microcaps-fundamental-ZENIFMM_0001</x:v>
      </x:c>
      <x:c r="O165" s="4" t="str">
        <x:v>ZENIFMM_0001</x:v>
      </x:c>
      <x:c r="P165" s="5" t="str">
        <x:v>Diversified; sector mandate not specified</x:v>
      </x:c>
    </x:row>
    <x:row r="166" ht="60" customHeight="1">
      <x:c r="A166" s="4" t="n">
        <x:v>161</x:v>
      </x:c>
      <x:c r="B166" s="5" t="str">
        <x:v>SwiftSky N500 Momentum Shield Model</x:v>
      </x:c>
      <x:c r="C166" s="5" t="str">
        <x:v>Krijuna Research</x:v>
      </x:c>
      <x:c r="D166" s="5" t="str">
        <x:v>Diversified / strategy</x:v>
      </x:c>
      <x:c r="E166" s="5" t="str">
        <x:v>No specific industry mandate identified</x:v>
      </x:c>
      <x:c r="F166" s="5" t="str">
        <x:v>Momentum / trend</x:v>
      </x:c>
      <x:c r="G166" s="6" t="n">
        <x:v>41974</x:v>
      </x:c>
      <x:c r="H166" s="4" t="str">
        <x:v>Medium</x:v>
      </x:c>
      <x:c r="I166" s="4" t="str">
        <x:v>Fee based</x:v>
      </x:c>
      <x:c r="J166" s="6" t="n">
        <x:v>833</x:v>
      </x:c>
      <x:c r="K166" s="5" t="str">
        <x:v>Top Momentum Stocks from Nifty 500 | Auto-Switches to Gold &amp; Cash When Markets Turn Weak</x:v>
      </x:c>
      <x:c r="L166" s="5" t="str">
        <x:v>No sector tags assigned; see description</x:v>
      </x:c>
      <x:c r="M166" s="7" t="d">
        <x:v>2026-10-22T00:00:00.000Z</x:v>
      </x:c>
      <x:c r="N166" s="8" t="str">
        <x:v>https://www.smallcase.com/smallcase/momentum-and-shield-smart-beta-KRRESB_0002</x:v>
      </x:c>
      <x:c r="O166" s="4" t="str">
        <x:v>KRRESB_0002</x:v>
      </x:c>
      <x:c r="P166" s="5" t="str">
        <x:v>Diversified; sector mandate not specified</x:v>
      </x:c>
    </x:row>
    <x:row r="167" ht="60" customHeight="1">
      <x:c r="A167" s="4" t="n">
        <x:v>162</x:v>
      </x:c>
      <x:c r="B167" s="5" t="str">
        <x:v>CT Power Mega Trend Theme</x:v>
      </x:c>
      <x:c r="C167" s="5" t="str">
        <x:v>CA Tapan Doshi</x:v>
      </x:c>
      <x:c r="D167" s="5" t="str">
        <x:v>Sector / industry theme</x:v>
      </x:c>
      <x:c r="E167" s="5" t="str">
        <x:v>Renewables, clean energy &amp; recycling; Power, utilities &amp; energy</x:v>
      </x:c>
      <x:c r="F167" s="5" t="str">
        <x:v>Other / not specified</x:v>
      </x:c>
      <x:c r="G167" s="6" t="n">
        <x:v>62279</x:v>
      </x:c>
      <x:c r="H167" s="4" t="str">
        <x:v>High</x:v>
      </x:c>
      <x:c r="I167" s="4" t="str">
        <x:v>Fee based</x:v>
      </x:c>
      <x:c r="J167" s="6" t="n">
        <x:v>749</x:v>
      </x:c>
      <x:c r="K167" s="5" t="str">
        <x:v>Power and energy theme portfolio capturing India’s infrastructure, electrification, and renewables.</x:v>
      </x:c>
      <x:c r="L167" s="5" t="str">
        <x:v>Title and listing description</x:v>
      </x:c>
      <x:c r="M167" s="7" t="d">
        <x:v>2026-09-03T00:00:00.000Z</x:v>
      </x:c>
      <x:c r="N167" s="8" t="str">
        <x:v>https://www.smallcase.com/smallcase/ct-power-mega-trend-fundamental-THIVFMM_0005</x:v>
      </x:c>
      <x:c r="O167" s="4" t="str">
        <x:v>THIVFMM_0005</x:v>
      </x:c>
      <x:c r="P167" s="5" t="str"/>
    </x:row>
    <x:row r="168" ht="60" customHeight="1">
      <x:c r="A168" s="4" t="n">
        <x:v>163</x:v>
      </x:c>
      <x:c r="B168" s="5" t="str">
        <x:v>Dividend Stars Model</x:v>
      </x:c>
      <x:c r="C168" s="5" t="str">
        <x:v>Windmill Capital</x:v>
      </x:c>
      <x:c r="D168" s="5" t="str">
        <x:v>Diversified / strategy</x:v>
      </x:c>
      <x:c r="E168" s="5" t="str">
        <x:v>No specific industry mandate identified</x:v>
      </x:c>
      <x:c r="F168" s="5" t="str">
        <x:v>Dividend / income</x:v>
      </x:c>
      <x:c r="G168" s="6" t="n">
        <x:v>66791</x:v>
      </x:c>
      <x:c r="H168" s="4" t="str">
        <x:v>High</x:v>
      </x:c>
      <x:c r="I168" s="4" t="str">
        <x:v>Fee based</x:v>
      </x:c>
      <x:c r="J168" s="6" t="n">
        <x:v>545</x:v>
      </x:c>
      <x:c r="K168" s="5" t="str">
        <x:v>High dividend yield companies with a track record of not cutting dividends</x:v>
      </x:c>
      <x:c r="L168" s="5" t="str">
        <x:v>No sector tags assigned; see description</x:v>
      </x:c>
      <x:c r="M168" s="7" t="d">
        <x:v>2026-09-16T00:00:00.000Z</x:v>
      </x:c>
      <x:c r="N168" s="8" t="str">
        <x:v>https://www.smallcase.com/smallcase/dividend-stars-SCMO_0013</x:v>
      </x:c>
      <x:c r="O168" s="4" t="str">
        <x:v>SCMO_0013</x:v>
      </x:c>
      <x:c r="P168" s="5" t="str">
        <x:v>Diversified; sector mandate not specified</x:v>
      </x:c>
    </x:row>
    <x:row r="169" ht="60" customHeight="1">
      <x:c r="A169" s="4" t="n">
        <x:v>164</x:v>
      </x:c>
      <x:c r="B169" s="5" t="str">
        <x:v>Smallcap Quality &amp; Growth - Asset Allocation Model</x:v>
      </x:c>
      <x:c r="C169" s="5" t="str">
        <x:v>Windmill Capital</x:v>
      </x:c>
      <x:c r="D169" s="5" t="str">
        <x:v>Asset allocation / target date</x:v>
      </x:c>
      <x:c r="E169" s="5" t="str">
        <x:v>No specific industry mandate identified</x:v>
      </x:c>
      <x:c r="F169" s="5" t="str">
        <x:v>Asset allocation</x:v>
      </x:c>
      <x:c r="G169" s="6" t="n">
        <x:v>38442</x:v>
      </x:c>
      <x:c r="H169" s="4" t="str">
        <x:v>High</x:v>
      </x:c>
      <x:c r="I169" s="4" t="str">
        <x:v>Fee based</x:v>
      </x:c>
      <x:c r="J169" s="6" t="n">
        <x:v>545</x:v>
      </x:c>
      <x:c r="K169" s="5" t="str">
        <x:v>Quality stocks showing consistent earnings growth along with diversification benefits of gold &amp; debt</x:v>
      </x:c>
      <x:c r="L169" s="5" t="str">
        <x:v>No sector tags assigned; see description</x:v>
      </x:c>
      <x:c r="M169" s="7" t="d">
        <x:v>2026-10-26T00:00:00.000Z</x:v>
      </x:c>
      <x:c r="N169" s="8" t="str">
        <x:v>https://www.smallcase.com/smallcase/straight-flush-asset-allocation-version-SCMO_0043</x:v>
      </x:c>
      <x:c r="O169" s="4" t="str">
        <x:v>SCMO_0043</x:v>
      </x:c>
      <x:c r="P169" s="5" t="str">
        <x:v>Asset allocation / target date</x:v>
      </x:c>
    </x:row>
    <x:row r="170" ht="60" customHeight="1">
      <x:c r="A170" s="4" t="n">
        <x:v>165</x:v>
      </x:c>
      <x:c r="B170" s="5" t="str">
        <x:v>Metal Stars Tracker</x:v>
      </x:c>
      <x:c r="C170" s="5" t="str">
        <x:v>Quantace Research</x:v>
      </x:c>
      <x:c r="D170" s="5" t="str">
        <x:v>Sector / industry theme</x:v>
      </x:c>
      <x:c r="E170" s="5" t="str">
        <x:v>Metals, mining &amp; minerals</x:v>
      </x:c>
      <x:c r="F170" s="5" t="str">
        <x:v>Fundamental / growth / quality</x:v>
      </x:c>
      <x:c r="G170" s="6" t="n">
        <x:v>17254</x:v>
      </x:c>
      <x:c r="H170" s="4" t="str">
        <x:v>High</x:v>
      </x:c>
      <x:c r="I170" s="4" t="str">
        <x:v>Fee based</x:v>
      </x:c>
      <x:c r="J170" s="6" t="n">
        <x:v>675</x:v>
      </x:c>
      <x:c r="K170" s="5" t="str">
        <x:v>Tap into the growth potential of the Metal &amp; Mining sector</x:v>
      </x:c>
      <x:c r="L170" s="5" t="str">
        <x:v>Title and listing description</x:v>
      </x:c>
      <x:c r="M170" s="7" t="d">
        <x:v>2026-10-26T00:00:00.000Z</x:v>
      </x:c>
      <x:c r="N170" s="8" t="str">
        <x:v>https://www.smallcase.com/smallcase/metal-ace-stars-QURETR_0002</x:v>
      </x:c>
      <x:c r="O170" s="4" t="str">
        <x:v>QURETR_0002</x:v>
      </x:c>
      <x:c r="P170" s="5" t="str"/>
    </x:row>
    <x:row r="171" ht="60" customHeight="1">
      <x:c r="A171" s="4" t="n">
        <x:v>166</x:v>
      </x:c>
      <x:c r="B171" s="5" t="str">
        <x:v>Omni MidCap Knights Fundamental</x:v>
      </x:c>
      <x:c r="C171" s="5" t="str">
        <x:v>Omniscience Capital</x:v>
      </x:c>
      <x:c r="D171" s="5" t="str">
        <x:v>Diversified / strategy</x:v>
      </x:c>
      <x:c r="E171" s="5" t="str">
        <x:v>No specific industry mandate identified</x:v>
      </x:c>
      <x:c r="F171" s="5" t="str">
        <x:v>Fundamental / growth / quality</x:v>
      </x:c>
      <x:c r="G171" s="6" t="n">
        <x:v>250000</x:v>
      </x:c>
      <x:c r="H171" s="4" t="str">
        <x:v>High</x:v>
      </x:c>
      <x:c r="I171" s="4" t="str">
        <x:v>Fee based</x:v>
      </x:c>
      <x:c r="J171" s="6" t="n">
        <x:v>2458</x:v>
      </x:c>
      <x:c r="K171" s="5" t="str">
        <x:v>Portfolio of emerging leaders in their aggressive growth phase.</x:v>
      </x:c>
      <x:c r="L171" s="5" t="str">
        <x:v>No sector tags assigned; see description</x:v>
      </x:c>
      <x:c r="M171" s="7" t="d">
        <x:v>2026-09-17T00:00:00.000Z</x:v>
      </x:c>
      <x:c r="N171" s="8" t="str">
        <x:v>https://www.smallcase.com/smallcase/omni-knights-supernormal-midcap-sip-OMNMO_0021</x:v>
      </x:c>
      <x:c r="O171" s="4" t="str">
        <x:v>OMNMO_0021</x:v>
      </x:c>
      <x:c r="P171" s="5" t="str">
        <x:v>Diversified; sector mandate not specified</x:v>
      </x:c>
    </x:row>
    <x:row r="172" ht="60" customHeight="1">
      <x:c r="A172" s="4" t="n">
        <x:v>167</x:v>
      </x:c>
      <x:c r="B172" s="5" t="str">
        <x:v>Alpha Factor Model</x:v>
      </x:c>
      <x:c r="C172" s="5" t="str">
        <x:v>Quantace Research</x:v>
      </x:c>
      <x:c r="D172" s="5" t="str">
        <x:v>Diversified / strategy</x:v>
      </x:c>
      <x:c r="E172" s="5" t="str">
        <x:v>No specific industry mandate identified</x:v>
      </x:c>
      <x:c r="F172" s="5" t="str">
        <x:v>Quant / factor</x:v>
      </x:c>
      <x:c r="G172" s="6" t="n">
        <x:v>42204</x:v>
      </x:c>
      <x:c r="H172" s="4" t="str">
        <x:v>High</x:v>
      </x:c>
      <x:c r="I172" s="4" t="str">
        <x:v>Fee based</x:v>
      </x:c>
      <x:c r="J172" s="6" t="n">
        <x:v>675</x:v>
      </x:c>
      <x:c r="K172" s="5" t="str">
        <x:v>Unlocking Market Outperformance</x:v>
      </x:c>
      <x:c r="L172" s="5" t="str">
        <x:v>No sector tags assigned; see description</x:v>
      </x:c>
      <x:c r="M172" s="7" t="d">
        <x:v>2026-10-26T00:00:00.000Z</x:v>
      </x:c>
      <x:c r="N172" s="8" t="str">
        <x:v>https://www.smallcase.com/smallcase/ace-alpha-factor-QUREMO_0030</x:v>
      </x:c>
      <x:c r="O172" s="4" t="str">
        <x:v>QUREMO_0030</x:v>
      </x:c>
      <x:c r="P172" s="5" t="str">
        <x:v>Diversified; sector mandate not specified</x:v>
      </x:c>
    </x:row>
    <x:row r="173" ht="60" customHeight="1">
      <x:c r="A173" s="4" t="n">
        <x:v>168</x:v>
      </x:c>
      <x:c r="B173" s="5" t="str">
        <x:v>BM NIFTY TOP 20 Fundamental</x:v>
      </x:c>
      <x:c r="C173" s="5" t="str">
        <x:v>Basant Maheshwari Investing</x:v>
      </x:c>
      <x:c r="D173" s="5" t="str">
        <x:v>Diversified / strategy</x:v>
      </x:c>
      <x:c r="E173" s="5" t="str">
        <x:v>No specific industry mandate identified</x:v>
      </x:c>
      <x:c r="F173" s="5" t="str">
        <x:v>Fundamental / growth / quality</x:v>
      </x:c>
      <x:c r="G173" s="6" t="n">
        <x:v>211605</x:v>
      </x:c>
      <x:c r="H173" s="4" t="str">
        <x:v>Medium</x:v>
      </x:c>
      <x:c r="I173" s="4" t="str">
        <x:v>Fee based</x:v>
      </x:c>
      <x:c r="J173" s="6" t="n">
        <x:v>2458</x:v>
      </x:c>
      <x:c r="K173" s="5" t="str">
        <x:v>Best 20 stocks from NIFTY 50</x:v>
      </x:c>
      <x:c r="L173" s="5" t="str">
        <x:v>No sector tags assigned; see description</x:v>
      </x:c>
      <x:c r="M173" s="7" t="d">
        <x:v>2025-05-27T00:00:00.000Z</x:v>
      </x:c>
      <x:c r="N173" s="8" t="str">
        <x:v>https://www.smallcase.com/smallcase/bm-nifty-top-20-BAMIMO_0003</x:v>
      </x:c>
      <x:c r="O173" s="4" t="str">
        <x:v>BAMIMO_0003</x:v>
      </x:c>
      <x:c r="P173" s="5" t="str">
        <x:v>Diversified; sector mandate not specified</x:v>
      </x:c>
    </x:row>
    <x:row r="174" ht="60" customHeight="1">
      <x:c r="A174" s="4" t="n">
        <x:v>169</x:v>
      </x:c>
      <x:c r="B174" s="5" t="str">
        <x:v>CWA Everest 10 Quant</x:v>
      </x:c>
      <x:c r="C174" s="5" t="str">
        <x:v>Compounding Wealth Advisors</x:v>
      </x:c>
      <x:c r="D174" s="5" t="str">
        <x:v>Diversified / strategy</x:v>
      </x:c>
      <x:c r="E174" s="5" t="str">
        <x:v>No specific industry mandate identified</x:v>
      </x:c>
      <x:c r="F174" s="5" t="str">
        <x:v>Quant / factor</x:v>
      </x:c>
      <x:c r="G174" s="6" t="n">
        <x:v>79582</x:v>
      </x:c>
      <x:c r="H174" s="4" t="str">
        <x:v>High</x:v>
      </x:c>
      <x:c r="I174" s="4" t="str">
        <x:v>Fee based</x:v>
      </x:c>
      <x:c r="J174" s="6" t="n">
        <x:v>983</x:v>
      </x:c>
      <x:c r="K174" s="5" t="str">
        <x:v>Concentrated Systematic Investing in the Top 10 outperformers from Nifty 500, Rcmd amt : 5-15 lacs</x:v>
      </x:c>
      <x:c r="L174" s="5" t="str">
        <x:v>No sector tags assigned; see description</x:v>
      </x:c>
      <x:c r="M174" s="7" t="d">
        <x:v>2026-10-26T00:00:00.000Z</x:v>
      </x:c>
      <x:c r="N174" s="8" t="str">
        <x:v>https://www.smallcase.com/smallcase/cwa-everest-10-COWAMO_0004</x:v>
      </x:c>
      <x:c r="O174" s="4" t="str">
        <x:v>COWAMO_0004</x:v>
      </x:c>
      <x:c r="P174" s="5" t="str">
        <x:v>Diversified; sector mandate not specified</x:v>
      </x:c>
    </x:row>
    <x:row r="175" ht="60" customHeight="1">
      <x:c r="A175" s="4" t="n">
        <x:v>170</x:v>
      </x:c>
      <x:c r="B175" s="5" t="str">
        <x:v>The Wisdom ETF Sector Rotation Theme</x:v>
      </x:c>
      <x:c r="C175" s="5" t="str">
        <x:v>Solomon Investments </x:v>
      </x:c>
      <x:c r="D175" s="5" t="str">
        <x:v>Sector / theme rotation</x:v>
      </x:c>
      <x:c r="E175" s="5" t="str">
        <x:v>No specific industry mandate identified</x:v>
      </x:c>
      <x:c r="F175" s="5" t="str">
        <x:v>Sector / theme rotation</x:v>
      </x:c>
      <x:c r="G175" s="6" t="n">
        <x:v>8889</x:v>
      </x:c>
      <x:c r="H175" s="4" t="str">
        <x:v>Medium</x:v>
      </x:c>
      <x:c r="I175" s="4" t="str">
        <x:v>Fee based</x:v>
      </x:c>
      <x:c r="J175" s="6" t="n">
        <x:v>458</x:v>
      </x:c>
      <x:c r="K175" s="5" t="str">
        <x:v>Model portfolio that focuses on sector rotation strategies using ETFs listed on NSE.</x:v>
      </x:c>
      <x:c r="L175" s="5" t="str">
        <x:v>No sector tags assigned; see description</x:v>
      </x:c>
      <x:c r="M175" s="7" t="d">
        <x:v>2026-09-03T00:00:00.000Z</x:v>
      </x:c>
      <x:c r="N175" s="8" t="str">
        <x:v>https://www.smallcase.com/smallcase/the-wisdom-etf-portfolio-SOLET_0001</x:v>
      </x:c>
      <x:c r="O175" s="4" t="str">
        <x:v>SOLET_0001</x:v>
      </x:c>
      <x:c r="P175" s="5" t="str">
        <x:v>Sector / theme rotation</x:v>
      </x:c>
    </x:row>
    <x:row r="176" ht="60" customHeight="1">
      <x:c r="A176" s="4" t="n">
        <x:v>171</x:v>
      </x:c>
      <x:c r="B176" s="5" t="str">
        <x:v>Gulaq Gear 5 Quant</x:v>
      </x:c>
      <x:c r="C176" s="5" t="str">
        <x:v>Estee</x:v>
      </x:c>
      <x:c r="D176" s="5" t="str">
        <x:v>Asset allocation / target date</x:v>
      </x:c>
      <x:c r="E176" s="5" t="str">
        <x:v>No specific industry mandate identified</x:v>
      </x:c>
      <x:c r="F176" s="5" t="str">
        <x:v>Asset allocation</x:v>
      </x:c>
      <x:c r="G176" s="6" t="n">
        <x:v>40000</x:v>
      </x:c>
      <x:c r="H176" s="4" t="str">
        <x:v>Medium</x:v>
      </x:c>
      <x:c r="I176" s="4" t="str">
        <x:v>Fee based</x:v>
      </x:c>
      <x:c r="J176" s="6" t="n">
        <x:v>491</x:v>
      </x:c>
      <x:c r="K176" s="5" t="str">
        <x:v>Growth oriented portfolio suited for Moderate to Agressive investors (80% Equity, 20% Debt ETF)</x:v>
      </x:c>
      <x:c r="L176" s="5" t="str">
        <x:v>No sector tags assigned; see description</x:v>
      </x:c>
      <x:c r="M176" s="7" t="d">
        <x:v>2026-09-29T00:00:00.000Z</x:v>
      </x:c>
      <x:c r="N176" s="8" t="str">
        <x:v>https://www.smallcase.com/smallcase/estee-long-alpha-lite-(gear-3)-ESTMO_0002</x:v>
      </x:c>
      <x:c r="O176" s="4" t="str">
        <x:v>ESTMO_0002</x:v>
      </x:c>
      <x:c r="P176" s="5" t="str">
        <x:v>Asset allocation / target date</x:v>
      </x:c>
    </x:row>
    <x:row r="177" ht="60" customHeight="1">
      <x:c r="A177" s="4" t="n">
        <x:v>172</x:v>
      </x:c>
      <x:c r="B177" s="5" t="str">
        <x:v>LABH STAYVAN Model</x:v>
      </x:c>
      <x:c r="C177" s="5" t="str">
        <x:v>Stayvan</x:v>
      </x:c>
      <x:c r="D177" s="5" t="str">
        <x:v>Diversified / strategy</x:v>
      </x:c>
      <x:c r="E177" s="5" t="str">
        <x:v>No specific industry mandate identified</x:v>
      </x:c>
      <x:c r="F177" s="5" t="str">
        <x:v>Fundamental / growth / quality</x:v>
      </x:c>
      <x:c r="G177" s="6" t="n">
        <x:v>81733</x:v>
      </x:c>
      <x:c r="H177" s="4" t="str">
        <x:v>Medium</x:v>
      </x:c>
      <x:c r="I177" s="4" t="str">
        <x:v>Fee based</x:v>
      </x:c>
      <x:c r="J177" s="6" t="n">
        <x:v>499</x:v>
      </x:c>
      <x:c r="K177" s="5" t="str">
        <x:v>SIP buying, structured exits, capital compounding strategy and equity building in stocks below ₹1000</x:v>
      </x:c>
      <x:c r="L177" s="5" t="str">
        <x:v>No sector tags assigned; see description</x:v>
      </x:c>
      <x:c r="M177" s="7" t="d">
        <x:v>2026-10-06T00:00:00.000Z</x:v>
      </x:c>
      <x:c r="N177" s="8" t="str">
        <x:v>https://www.smallcase.com/smallcase/multi-assets-portfolio-SYVMO_0006</x:v>
      </x:c>
      <x:c r="O177" s="4" t="str">
        <x:v>SYVMO_0006</x:v>
      </x:c>
      <x:c r="P177" s="5" t="str">
        <x:v>Diversified; sector mandate not specified</x:v>
      </x:c>
    </x:row>
    <x:row r="178" ht="60" customHeight="1">
      <x:c r="A178" s="4" t="n">
        <x:v>173</x:v>
      </x:c>
      <x:c r="B178" s="5" t="str">
        <x:v>LargeCap Momentum Model</x:v>
      </x:c>
      <x:c r="C178" s="5" t="str">
        <x:v>Growth Investing</x:v>
      </x:c>
      <x:c r="D178" s="5" t="str">
        <x:v>Diversified / strategy</x:v>
      </x:c>
      <x:c r="E178" s="5" t="str">
        <x:v>No specific industry mandate identified</x:v>
      </x:c>
      <x:c r="F178" s="5" t="str">
        <x:v>Momentum / trend</x:v>
      </x:c>
      <x:c r="G178" s="6" t="n">
        <x:v>50000</x:v>
      </x:c>
      <x:c r="H178" s="4" t="str">
        <x:v>High</x:v>
      </x:c>
      <x:c r="I178" s="4" t="str">
        <x:v>Fee based</x:v>
      </x:c>
      <x:c r="J178" s="6" t="n">
        <x:v>570</x:v>
      </x:c>
      <x:c r="K178" s="5" t="str">
        <x:v>LargeCap Momentum Model 10 stocks with better growth potential, based on Growth Accelerating Momentum</x:v>
      </x:c>
      <x:c r="L178" s="5" t="str">
        <x:v>No sector tags assigned; see description</x:v>
      </x:c>
      <x:c r="M178" s="7" t="d">
        <x:v>2026-09-29T00:00:00.000Z</x:v>
      </x:c>
      <x:c r="N178" s="8" t="str">
        <x:v>https://www.smallcase.com/smallcase/gi-the-next-bluechip's-GRINMO_0003</x:v>
      </x:c>
      <x:c r="O178" s="4" t="str">
        <x:v>GRINMO_0003</x:v>
      </x:c>
      <x:c r="P178" s="5" t="str">
        <x:v>Diversified; sector mandate not specified</x:v>
      </x:c>
    </x:row>
    <x:row r="179" ht="60" customHeight="1">
      <x:c r="A179" s="4" t="n">
        <x:v>174</x:v>
      </x:c>
      <x:c r="B179" s="5" t="str">
        <x:v>Marcellus MeritorQ- AuA based Fee plan Quant</x:v>
      </x:c>
      <x:c r="C179" s="5" t="str">
        <x:v>Marcellus</x:v>
      </x:c>
      <x:c r="D179" s="5" t="str">
        <x:v>Diversified / strategy</x:v>
      </x:c>
      <x:c r="E179" s="5" t="str">
        <x:v>No specific industry mandate identified</x:v>
      </x:c>
      <x:c r="F179" s="5" t="str">
        <x:v>Value / contrarian</x:v>
      </x:c>
      <x:c r="G179" s="6" t="n">
        <x:v>329276</x:v>
      </x:c>
      <x:c r="H179" s="4" t="str">
        <x:v>Medium</x:v>
      </x:c>
      <x:c r="I179" s="4" t="str">
        <x:v>Not shown</x:v>
      </x:c>
      <x:c r="J179" s="6"/>
      <x:c r="K179" s="5" t="str">
        <x:v>A Rules-Based Strategy which seeks to identify Quality companies that are relatively Undervalued.</x:v>
      </x:c>
      <x:c r="L179" s="5" t="str">
        <x:v>No sector tags assigned; see description</x:v>
      </x:c>
      <x:c r="M179" s="7" t="d">
        <x:v>2026-09-22T00:00:00.000Z</x:v>
      </x:c>
      <x:c r="N179" s="8" t="str">
        <x:v>https://www.smallcase.com/smallcase/meritorq-aua-based-fees-MCELMO_0008</x:v>
      </x:c>
      <x:c r="O179" s="4" t="str">
        <x:v>MCELMO_0008</x:v>
      </x:c>
      <x:c r="P179" s="5" t="str">
        <x:v>Diversified; sector mandate not specified</x:v>
      </x:c>
    </x:row>
    <x:row r="180" ht="60" customHeight="1">
      <x:c r="A180" s="4" t="n">
        <x:v>175</x:v>
      </x:c>
      <x:c r="B180" s="5" t="str">
        <x:v>H2 MULTICAP STRATEGY Model</x:v>
      </x:c>
      <x:c r="C180" s="5" t="str">
        <x:v>H2 INVESTMENT MANAGERS</x:v>
      </x:c>
      <x:c r="D180" s="5" t="str">
        <x:v>Diversified / strategy</x:v>
      </x:c>
      <x:c r="E180" s="5" t="str">
        <x:v>No specific industry mandate identified</x:v>
      </x:c>
      <x:c r="F180" s="5" t="str">
        <x:v>Fundamental / growth / quality</x:v>
      </x:c>
      <x:c r="G180" s="6" t="n">
        <x:v>52265</x:v>
      </x:c>
      <x:c r="H180" s="4" t="str">
        <x:v>High</x:v>
      </x:c>
      <x:c r="I180" s="4" t="str">
        <x:v>Fee based</x:v>
      </x:c>
      <x:c r="J180" s="6" t="n">
        <x:v>983</x:v>
      </x:c>
      <x:c r="K180" s="5" t="str">
        <x:v>This smallcase is a diversified portfolio of 15-25 companies which are in highly growth sectors.</x:v>
      </x:c>
      <x:c r="L180" s="5" t="str">
        <x:v>No sector tags assigned; see description</x:v>
      </x:c>
      <x:c r="M180" s="7" t="d">
        <x:v>2026-09-21T00:00:00.000Z</x:v>
      </x:c>
      <x:c r="N180" s="8" t="str">
        <x:v>https://www.smallcase.com/smallcase/h2-multicap-strategy-HINMMO_0002</x:v>
      </x:c>
      <x:c r="O180" s="4" t="str">
        <x:v>HINMMO_0002</x:v>
      </x:c>
      <x:c r="P180" s="5" t="str">
        <x:v>Diversified; sector mandate not specified</x:v>
      </x:c>
    </x:row>
    <x:row r="181" ht="60" customHeight="1">
      <x:c r="A181" s="4" t="n">
        <x:v>176</x:v>
      </x:c>
      <x:c r="B181" s="5" t="str">
        <x:v>SR GREEN ENERGY Theme</x:v>
      </x:c>
      <x:c r="C181" s="5" t="str">
        <x:v>SR WEALTH ELITE</x:v>
      </x:c>
      <x:c r="D181" s="5" t="str">
        <x:v>Sector / industry theme</x:v>
      </x:c>
      <x:c r="E181" s="5" t="str">
        <x:v>Renewables, clean energy &amp; recycling</x:v>
      </x:c>
      <x:c r="F181" s="5" t="str">
        <x:v>Other / not specified</x:v>
      </x:c>
      <x:c r="G181" s="6" t="n">
        <x:v>41285</x:v>
      </x:c>
      <x:c r="H181" s="4" t="str">
        <x:v>High</x:v>
      </x:c>
      <x:c r="I181" s="4" t="str">
        <x:v>Fee based</x:v>
      </x:c>
      <x:c r="J181" s="6" t="n">
        <x:v>1180</x:v>
      </x:c>
      <x:c r="K181" s="5" t="str">
        <x:v>A portfolio of stocks, which will get benefit from the renewable energy sector development.</x:v>
      </x:c>
      <x:c r="L181" s="5" t="str">
        <x:v>Title and listing description</x:v>
      </x:c>
      <x:c r="M181" s="7" t="d">
        <x:v>2026-10-27T00:00:00.000Z</x:v>
      </x:c>
      <x:c r="N181" s="8" t="str">
        <x:v>https://www.smallcase.com/smallcase/sr-green-energy-LOSENM_0003</x:v>
      </x:c>
      <x:c r="O181" s="4" t="str">
        <x:v>LOSENM_0003</x:v>
      </x:c>
      <x:c r="P181" s="5" t="str"/>
    </x:row>
    <x:row r="182" ht="60" customHeight="1">
      <x:c r="A182" s="4" t="n">
        <x:v>177</x:v>
      </x:c>
      <x:c r="B182" s="5" t="str">
        <x:v>Alpha prime 100 Model</x:v>
      </x:c>
      <x:c r="C182" s="5" t="str">
        <x:v>Livelong Wealth</x:v>
      </x:c>
      <x:c r="D182" s="5" t="str">
        <x:v>Diversified / strategy</x:v>
      </x:c>
      <x:c r="E182" s="5" t="str">
        <x:v>No specific industry mandate identified</x:v>
      </x:c>
      <x:c r="F182" s="5" t="str">
        <x:v>Momentum / trend</x:v>
      </x:c>
      <x:c r="G182" s="6" t="n">
        <x:v>25000</x:v>
      </x:c>
      <x:c r="H182" s="4" t="str">
        <x:v>Medium</x:v>
      </x:c>
      <x:c r="I182" s="4" t="str">
        <x:v>Fee based</x:v>
      </x:c>
      <x:c r="J182" s="6" t="n">
        <x:v>783</x:v>
      </x:c>
      <x:c r="K182" s="5" t="str">
        <x:v>Alpha Model blends Nifty 100 stability with midcap momentum for smart, hedged swing trading</x:v>
      </x:c>
      <x:c r="L182" s="5" t="str">
        <x:v>No sector tags assigned; see description</x:v>
      </x:c>
      <x:c r="M182" s="7" t="d">
        <x:v>2026-09-02T00:00:00.000Z</x:v>
      </x:c>
      <x:c r="N182" s="8" t="str">
        <x:v>https://www.smallcase.com/smallcase/alpha-prime-LIWEMO_0004</x:v>
      </x:c>
      <x:c r="O182" s="4" t="str">
        <x:v>LIWEMO_0004</x:v>
      </x:c>
      <x:c r="P182" s="5" t="str">
        <x:v>Diversified; sector mandate not specified</x:v>
      </x:c>
    </x:row>
    <x:row r="183" ht="60" customHeight="1">
      <x:c r="A183" s="4" t="n">
        <x:v>178</x:v>
      </x:c>
      <x:c r="B183" s="5" t="str">
        <x:v>Quality Growth Compounders Fundamental</x:v>
      </x:c>
      <x:c r="C183" s="5" t="str">
        <x:v>Agility Advisors</x:v>
      </x:c>
      <x:c r="D183" s="5" t="str">
        <x:v>Diversified / strategy</x:v>
      </x:c>
      <x:c r="E183" s="5" t="str">
        <x:v>No specific industry mandate identified</x:v>
      </x:c>
      <x:c r="F183" s="5" t="str">
        <x:v>Fundamental / growth / quality</x:v>
      </x:c>
      <x:c r="G183" s="6" t="n">
        <x:v>310906</x:v>
      </x:c>
      <x:c r="H183" s="4" t="str">
        <x:v>High</x:v>
      </x:c>
      <x:c r="I183" s="4" t="str">
        <x:v>Fee based</x:v>
      </x:c>
      <x:c r="J183" s="6" t="n">
        <x:v>1770</x:v>
      </x:c>
      <x:c r="K183" s="5" t="str">
        <x:v>A multi-cap portfolio and is designed on the back of our own 5G strategy.</x:v>
      </x:c>
      <x:c r="L183" s="5" t="str">
        <x:v>No sector tags assigned; see description</x:v>
      </x:c>
      <x:c r="M183" s="7" t="d">
        <x:v>2026-10-13T00:00:00.000Z</x:v>
      </x:c>
      <x:c r="N183" s="8" t="str">
        <x:v>https://www.smallcase.com/smallcase/test-YEJMO_0003</x:v>
      </x:c>
      <x:c r="O183" s="4" t="str">
        <x:v>YEJMO_0003</x:v>
      </x:c>
      <x:c r="P183" s="5" t="str">
        <x:v>Diversified; sector mandate not specified</x:v>
      </x:c>
    </x:row>
    <x:row r="184" ht="60" customHeight="1">
      <x:c r="A184" s="4" t="n">
        <x:v>179</x:v>
      </x:c>
      <x:c r="B184" s="5" t="str">
        <x:v>GVSR-Multi-Asset ETFs &amp; REITs Asset Allocation</x:v>
      </x:c>
      <x:c r="C184" s="5" t="str">
        <x:v>GVSRwealth</x:v>
      </x:c>
      <x:c r="D184" s="5" t="str">
        <x:v>Asset allocation / target date</x:v>
      </x:c>
      <x:c r="E184" s="5" t="str">
        <x:v>No specific industry mandate identified</x:v>
      </x:c>
      <x:c r="F184" s="5" t="str">
        <x:v>Asset allocation</x:v>
      </x:c>
      <x:c r="G184" s="6" t="n">
        <x:v>10000</x:v>
      </x:c>
      <x:c r="H184" s="4" t="str">
        <x:v>Low</x:v>
      </x:c>
      <x:c r="I184" s="4" t="str">
        <x:v>Fee based</x:v>
      </x:c>
      <x:c r="J184" s="6" t="n">
        <x:v>1233</x:v>
      </x:c>
      <x:c r="K184" s="5" t="str">
        <x:v>This smallcase is about risk diversification across:(i)Gold,(ii)Equity (iii)Liquid Bonds, (iv)REITs</x:v>
      </x:c>
      <x:c r="L184" s="5" t="str">
        <x:v>No sector tags assigned; see description</x:v>
      </x:c>
      <x:c r="M184" s="7" t="d">
        <x:v>2026-10-19T00:00:00.000Z</x:v>
      </x:c>
      <x:c r="N184" s="8" t="str">
        <x:v>https://www.smallcase.com/smallcase/multi-asset-portfolio:(gold+equity+liquid-funds)-GVSRET_0001</x:v>
      </x:c>
      <x:c r="O184" s="4" t="str">
        <x:v>GVSRET_0001</x:v>
      </x:c>
      <x:c r="P184" s="5" t="str">
        <x:v>Asset allocation / target date</x:v>
      </x:c>
    </x:row>
    <x:row r="185" ht="60" customHeight="1">
      <x:c r="A185" s="4" t="n">
        <x:v>180</x:v>
      </x:c>
      <x:c r="B185" s="5" t="str">
        <x:v>FidelFolio Shivalik Equity Quant</x:v>
      </x:c>
      <x:c r="C185" s="5" t="str">
        <x:v>FidelFolio Investment</x:v>
      </x:c>
      <x:c r="D185" s="5" t="str">
        <x:v>Diversified / strategy</x:v>
      </x:c>
      <x:c r="E185" s="5" t="str">
        <x:v>No specific industry mandate identified</x:v>
      </x:c>
      <x:c r="F185" s="5" t="str">
        <x:v>Quant / factor</x:v>
      </x:c>
      <x:c r="G185" s="6" t="n">
        <x:v>143731</x:v>
      </x:c>
      <x:c r="H185" s="4" t="str">
        <x:v>Medium</x:v>
      </x:c>
      <x:c r="I185" s="4" t="str">
        <x:v>Not shown</x:v>
      </x:c>
      <x:c r="J185" s="6"/>
      <x:c r="K185" s="5" t="str">
        <x:v>Avg. Risk | Long-term | Compounds Profit &amp; cashflow at 20%+ annually | Low Churn &amp; Leakage Cost</x:v>
      </x:c>
      <x:c r="L185" s="5" t="str">
        <x:v>No sector tags assigned; see description</x:v>
      </x:c>
      <x:c r="M185" s="7" t="d">
        <x:v>2025-06-05T00:00:00.000Z</x:v>
      </x:c>
      <x:c r="N185" s="8" t="str">
        <x:v>https://www.smallcase.com/smallcase/fidelfolio-compounder-low-ticket-size-KIUPMO_0006</x:v>
      </x:c>
      <x:c r="O185" s="4" t="str">
        <x:v>KIUPMO_0006</x:v>
      </x:c>
      <x:c r="P185" s="5" t="str">
        <x:v>Diversified; sector mandate not specified</x:v>
      </x:c>
    </x:row>
    <x:row r="186" ht="60" customHeight="1">
      <x:c r="A186" s="4" t="n">
        <x:v>181</x:v>
      </x:c>
      <x:c r="B186" s="5" t="str">
        <x:v>SUPERNOVA Moat New Age Futuristic Theme</x:v>
      </x:c>
      <x:c r="C186" s="5" t="str">
        <x:v>LaMoksh</x:v>
      </x:c>
      <x:c r="D186" s="5" t="str">
        <x:v>Diversified / strategy</x:v>
      </x:c>
      <x:c r="E186" s="5" t="str">
        <x:v>No specific industry mandate identified</x:v>
      </x:c>
      <x:c r="F186" s="5" t="str">
        <x:v>Other / not specified</x:v>
      </x:c>
      <x:c r="G186" s="6" t="n">
        <x:v>50648</x:v>
      </x:c>
      <x:c r="H186" s="4" t="str">
        <x:v>High</x:v>
      </x:c>
      <x:c r="I186" s="4" t="str">
        <x:v>Fee based</x:v>
      </x:c>
      <x:c r="J186" s="6" t="n">
        <x:v>541</x:v>
      </x:c>
      <x:c r="K186" s="5" t="str">
        <x:v>Supernova is a collection of futuristic business concepts having distinct competitive advantage.</x:v>
      </x:c>
      <x:c r="L186" s="5" t="str">
        <x:v>No sector tags assigned; see description</x:v>
      </x:c>
      <x:c r="M186" s="7" t="d">
        <x:v>2026-09-17T00:00:00.000Z</x:v>
      </x:c>
      <x:c r="N186" s="8" t="str">
        <x:v>https://www.smallcase.com/smallcase/supernova-LAMMO_0005</x:v>
      </x:c>
      <x:c r="O186" s="4" t="str">
        <x:v>LAMMO_0005</x:v>
      </x:c>
      <x:c r="P186" s="5" t="str">
        <x:v>Innovation / emerging business themes</x:v>
      </x:c>
    </x:row>
    <x:row r="187" ht="60" customHeight="1">
      <x:c r="A187" s="4" t="n">
        <x:v>182</x:v>
      </x:c>
      <x:c r="B187" s="5" t="str">
        <x:v>BM Focused Small Cap Fundamental</x:v>
      </x:c>
      <x:c r="C187" s="5" t="str">
        <x:v>Basant Maheshwari Investing</x:v>
      </x:c>
      <x:c r="D187" s="5" t="str">
        <x:v>Diversified / strategy</x:v>
      </x:c>
      <x:c r="E187" s="5" t="str">
        <x:v>No specific industry mandate identified</x:v>
      </x:c>
      <x:c r="F187" s="5" t="str">
        <x:v>Fundamental / growth / quality</x:v>
      </x:c>
      <x:c r="G187" s="6" t="n">
        <x:v>27779</x:v>
      </x:c>
      <x:c r="H187" s="4" t="str">
        <x:v>High</x:v>
      </x:c>
      <x:c r="I187" s="4" t="str">
        <x:v>Fee based</x:v>
      </x:c>
      <x:c r="J187" s="6" t="n">
        <x:v>5900</x:v>
      </x:c>
      <x:c r="K187" s="5" t="str">
        <x:v>This will be a small-cap concentrated portfolio of 15 stocks divided across sectors.</x:v>
      </x:c>
      <x:c r="L187" s="5" t="str">
        <x:v>No sector tags assigned; see description</x:v>
      </x:c>
      <x:c r="M187" s="7" t="d">
        <x:v>2026-09-25T00:00:00.000Z</x:v>
      </x:c>
      <x:c r="N187" s="8" t="str">
        <x:v>https://www.smallcase.com/smallcase/bm-focused-small-cap-BAMIMO_0002</x:v>
      </x:c>
      <x:c r="O187" s="4" t="str">
        <x:v>BAMIMO_0002</x:v>
      </x:c>
      <x:c r="P187" s="5" t="str">
        <x:v>Diversified; sector mandate not specified</x:v>
      </x:c>
    </x:row>
    <x:row r="188" ht="60" customHeight="1">
      <x:c r="A188" s="4" t="n">
        <x:v>183</x:v>
      </x:c>
      <x:c r="B188" s="5" t="str">
        <x:v>CWA Multi-Asset Asset Allocation</x:v>
      </x:c>
      <x:c r="C188" s="5" t="str">
        <x:v>Compounding Wealth Advisors</x:v>
      </x:c>
      <x:c r="D188" s="5" t="str">
        <x:v>Asset allocation / target date</x:v>
      </x:c>
      <x:c r="E188" s="5" t="str">
        <x:v>No specific industry mandate identified</x:v>
      </x:c>
      <x:c r="F188" s="5" t="str">
        <x:v>Asset allocation</x:v>
      </x:c>
      <x:c r="G188" s="6" t="n">
        <x:v>269973</x:v>
      </x:c>
      <x:c r="H188" s="4" t="str">
        <x:v>High</x:v>
      </x:c>
      <x:c r="I188" s="4" t="str">
        <x:v>Fee based</x:v>
      </x:c>
      <x:c r="J188" s="6" t="n">
        <x:v>983</x:v>
      </x:c>
      <x:c r="K188" s="5" t="str">
        <x:v>Multi-Asset allocation model investing across equities, gold, silver and G-Secs; Rcmd amt: 5-15 lacs</x:v>
      </x:c>
      <x:c r="L188" s="5" t="str">
        <x:v>No sector tags assigned; see description</x:v>
      </x:c>
      <x:c r="M188" s="7" t="d">
        <x:v>2026-10-26T00:00:00.000Z</x:v>
      </x:c>
      <x:c r="N188" s="8" t="str">
        <x:v>https://www.smallcase.com/smallcase/cwa-multi-asset-COWAMO_0008</x:v>
      </x:c>
      <x:c r="O188" s="4" t="str">
        <x:v>COWAMO_0008</x:v>
      </x:c>
      <x:c r="P188" s="5" t="str">
        <x:v>Asset allocation / target date</x:v>
      </x:c>
    </x:row>
    <x:row r="189" ht="60" customHeight="1">
      <x:c r="A189" s="4" t="n">
        <x:v>184</x:v>
      </x:c>
      <x:c r="B189" s="5" t="str">
        <x:v>SSR Maverick Momentum Model</x:v>
      </x:c>
      <x:c r="C189" s="5" t="str">
        <x:v>SSR Research Services</x:v>
      </x:c>
      <x:c r="D189" s="5" t="str">
        <x:v>Diversified / strategy</x:v>
      </x:c>
      <x:c r="E189" s="5" t="str">
        <x:v>No specific industry mandate identified</x:v>
      </x:c>
      <x:c r="F189" s="5" t="str">
        <x:v>Momentum / trend</x:v>
      </x:c>
      <x:c r="G189" s="6" t="n">
        <x:v>76072</x:v>
      </x:c>
      <x:c r="H189" s="4" t="str">
        <x:v>High</x:v>
      </x:c>
      <x:c r="I189" s="4" t="str">
        <x:v>Fee based</x:v>
      </x:c>
      <x:c r="J189" s="6" t="n">
        <x:v>1178</x:v>
      </x:c>
      <x:c r="K189" s="5" t="str">
        <x:v>30 high-momentum stocks from Nifty 750 universe, diversified portfolio, rebalanced weekly.</x:v>
      </x:c>
      <x:c r="L189" s="5" t="str">
        <x:v>No sector tags assigned; see description</x:v>
      </x:c>
      <x:c r="M189" s="7" t="d">
        <x:v>2026-10-23T00:00:00.000Z</x:v>
      </x:c>
      <x:c r="N189" s="8" t="str">
        <x:v>https://www.smallcase.com/smallcase/ssr-nifty-750-maverick-momentum-model-SSRSFAM_0001</x:v>
      </x:c>
      <x:c r="O189" s="4" t="str">
        <x:v>SSRSFAM_0001</x:v>
      </x:c>
      <x:c r="P189" s="5" t="str">
        <x:v>Diversified; sector mandate not specified</x:v>
      </x:c>
    </x:row>
    <x:row r="190" ht="60" customHeight="1">
      <x:c r="A190" s="4" t="n">
        <x:v>185</x:v>
      </x:c>
      <x:c r="B190" s="5" t="str">
        <x:v>Capital Markets Theme</x:v>
      </x:c>
      <x:c r="C190" s="5" t="str">
        <x:v>Quantace Research</x:v>
      </x:c>
      <x:c r="D190" s="5" t="str">
        <x:v>Sector / industry theme</x:v>
      </x:c>
      <x:c r="E190" s="5" t="str">
        <x:v>Capital markets &amp; wealth management</x:v>
      </x:c>
      <x:c r="F190" s="5" t="str">
        <x:v>Other / not specified</x:v>
      </x:c>
      <x:c r="G190" s="6" t="n">
        <x:v>32622</x:v>
      </x:c>
      <x:c r="H190" s="4" t="str">
        <x:v>High</x:v>
      </x:c>
      <x:c r="I190" s="4" t="str">
        <x:v>Fee based</x:v>
      </x:c>
      <x:c r="J190" s="6" t="n">
        <x:v>675</x:v>
      </x:c>
      <x:c r="K190" s="5" t="str">
        <x:v>Invest in the Stocks Linked to indian Capital Markets.</x:v>
      </x:c>
      <x:c r="L190" s="5" t="str">
        <x:v>Title and listing description</x:v>
      </x:c>
      <x:c r="M190" s="7" t="d">
        <x:v>2026-10-26T00:00:00.000Z</x:v>
      </x:c>
      <x:c r="N190" s="8" t="str">
        <x:v>https://www.smallcase.com/smallcase/capital-markets-theme-QURENM_0014</x:v>
      </x:c>
      <x:c r="O190" s="4" t="str">
        <x:v>QURENM_0014</x:v>
      </x:c>
      <x:c r="P190" s="5" t="str"/>
    </x:row>
    <x:row r="191" ht="60" customHeight="1">
      <x:c r="A191" s="4" t="n">
        <x:v>186</x:v>
      </x:c>
      <x:c r="B191" s="5" t="str">
        <x:v>Ikashi Emerging India Theme</x:v>
      </x:c>
      <x:c r="C191" s="5" t="str">
        <x:v>IKASHI FINTECH PRIVATE LIMITED</x:v>
      </x:c>
      <x:c r="D191" s="5" t="str">
        <x:v>Sector / industry theme</x:v>
      </x:c>
      <x:c r="E191" s="5" t="str">
        <x:v>Renewables, clean energy &amp; recycling; Water &amp; waste management; AI, data centres &amp; digital infrastructure; Banks &amp; NBFCs; Electronics &amp; semiconductors; Automobiles, EVs &amp; components</x:v>
      </x:c>
      <x:c r="F191" s="5" t="str">
        <x:v>Fundamental / growth / quality</x:v>
      </x:c>
      <x:c r="G191" s="6" t="n">
        <x:v>25018</x:v>
      </x:c>
      <x:c r="H191" s="4" t="str">
        <x:v>High</x:v>
      </x:c>
      <x:c r="I191" s="4" t="str">
        <x:v>Fee based</x:v>
      </x:c>
      <x:c r="J191" s="6" t="n">
        <x:v>1249</x:v>
      </x:c>
      <x:c r="K191" s="5" t="str">
        <x:v>High conviction portfolio of 15 - 20 quality stocks , chosen from India emerging sectors</x:v>
      </x:c>
      <x:c r="L191" s="5" t="str">
        <x:v>Public detail-page investment rationale</x:v>
      </x:c>
      <x:c r="M191" s="7" t="d">
        <x:v>2026-10-14T00:00:00.000Z</x:v>
      </x:c>
      <x:c r="N191" s="8" t="str">
        <x:v>https://www.smallcase.com/smallcase/ikashi-emerging-india-theme-IFPLNM_0002</x:v>
      </x:c>
      <x:c r="O191" s="4" t="str">
        <x:v>IFPLNM_0002</x:v>
      </x:c>
      <x:c r="P191" s="5" t="str"/>
    </x:row>
    <x:row r="192" ht="60" customHeight="1">
      <x:c r="A192" s="4" t="n">
        <x:v>187</x:v>
      </x:c>
      <x:c r="B192" s="5" t="str">
        <x:v>True Turtles Trend Master Quant</x:v>
      </x:c>
      <x:c r="C192" s="5" t="str">
        <x:v>TRUE TURTLES LLP</x:v>
      </x:c>
      <x:c r="D192" s="5" t="str">
        <x:v>Diversified / strategy</x:v>
      </x:c>
      <x:c r="E192" s="5" t="str">
        <x:v>No specific industry mandate identified</x:v>
      </x:c>
      <x:c r="F192" s="5" t="str">
        <x:v>Momentum / trend</x:v>
      </x:c>
      <x:c r="G192" s="6" t="n">
        <x:v>436745</x:v>
      </x:c>
      <x:c r="H192" s="4" t="str">
        <x:v>Low</x:v>
      </x:c>
      <x:c r="I192" s="4" t="str">
        <x:v>Fee based</x:v>
      </x:c>
      <x:c r="J192" s="6" t="n">
        <x:v>983</x:v>
      </x:c>
      <x:c r="K192" s="5" t="str">
        <x:v>A data-backed systematic Trend-Following model designed to compound wealth with discipline.</x:v>
      </x:c>
      <x:c r="L192" s="5" t="str">
        <x:v>No sector tags assigned; see description</x:v>
      </x:c>
      <x:c r="M192" s="7" t="d">
        <x:v>2026-10-27T00:00:00.000Z</x:v>
      </x:c>
      <x:c r="N192" s="8" t="str">
        <x:v>https://www.smallcase.com/smallcase/true-turtles-trend-master-model-TRTUMX_0001</x:v>
      </x:c>
      <x:c r="O192" s="4" t="str">
        <x:v>TRTUMX_0001</x:v>
      </x:c>
      <x:c r="P192" s="5" t="str">
        <x:v>Diversified; sector mandate not specified</x:v>
      </x:c>
    </x:row>
    <x:row r="193" ht="60" customHeight="1">
      <x:c r="A193" s="4" t="n">
        <x:v>188</x:v>
      </x:c>
      <x:c r="B193" s="5" t="str">
        <x:v>Top 20 Microcaps Fundamental</x:v>
      </x:c>
      <x:c r="C193" s="5" t="str">
        <x:v>Nooresh Merani</x:v>
      </x:c>
      <x:c r="D193" s="5" t="str">
        <x:v>Diversified / strategy</x:v>
      </x:c>
      <x:c r="E193" s="5" t="str">
        <x:v>No specific industry mandate identified</x:v>
      </x:c>
      <x:c r="F193" s="5" t="str">
        <x:v>Value / contrarian</x:v>
      </x:c>
      <x:c r="G193" s="6" t="n">
        <x:v>62530</x:v>
      </x:c>
      <x:c r="H193" s="4" t="str">
        <x:v>High</x:v>
      </x:c>
      <x:c r="I193" s="4" t="str">
        <x:v>Fee based</x:v>
      </x:c>
      <x:c r="J193" s="6" t="n">
        <x:v>1180</x:v>
      </x:c>
      <x:c r="K193" s="5" t="str">
        <x:v>The Stocks which are Deep Value either via – Assets, Replacement Value, Earnings, Cycle, Optionality</x:v>
      </x:c>
      <x:c r="L193" s="5" t="str">
        <x:v>No sector tags assigned; see description</x:v>
      </x:c>
      <x:c r="M193" s="7" t="d">
        <x:v>2026-05-22T00:00:00.000Z</x:v>
      </x:c>
      <x:c r="N193" s="8" t="str">
        <x:v>https://www.smallcase.com/smallcase/top-20-microcaps-fundamental-NOMFMM_0001</x:v>
      </x:c>
      <x:c r="O193" s="4" t="str">
        <x:v>NOMFMM_0001</x:v>
      </x:c>
      <x:c r="P193" s="5" t="str">
        <x:v>Diversified; sector mandate not specified</x:v>
      </x:c>
    </x:row>
    <x:row r="194" ht="60" customHeight="1">
      <x:c r="A194" s="4" t="n">
        <x:v>189</x:v>
      </x:c>
      <x:c r="B194" s="5" t="str">
        <x:v>CWA EMERGING TITANS Quant</x:v>
      </x:c>
      <x:c r="C194" s="5" t="str">
        <x:v>Compounding Wealth Advisors</x:v>
      </x:c>
      <x:c r="D194" s="5" t="str">
        <x:v>Diversified / strategy</x:v>
      </x:c>
      <x:c r="E194" s="5" t="str">
        <x:v>No specific industry mandate identified</x:v>
      </x:c>
      <x:c r="F194" s="5" t="str">
        <x:v>Quant / factor</x:v>
      </x:c>
      <x:c r="G194" s="6" t="n">
        <x:v>84203</x:v>
      </x:c>
      <x:c r="H194" s="4" t="str">
        <x:v>High</x:v>
      </x:c>
      <x:c r="I194" s="4" t="str">
        <x:v>Fee based</x:v>
      </x:c>
      <x:c r="J194" s="6" t="n">
        <x:v>983</x:v>
      </x:c>
      <x:c r="K194" s="5" t="str">
        <x:v>Systematic Investing in outperforming stocks from Small and Micro cap.Recmd amt : 5-15 lacs</x:v>
      </x:c>
      <x:c r="L194" s="5" t="str">
        <x:v>No sector tags assigned; see description</x:v>
      </x:c>
      <x:c r="M194" s="7" t="d">
        <x:v>2026-10-26T00:00:00.000Z</x:v>
      </x:c>
      <x:c r="N194" s="8" t="str">
        <x:v>https://www.smallcase.com/smallcase/cwa-emerging-titans-quant-COWAQM_0008</x:v>
      </x:c>
      <x:c r="O194" s="4" t="str">
        <x:v>COWAQM_0008</x:v>
      </x:c>
      <x:c r="P194" s="5" t="str">
        <x:v>Diversified; sector mandate not specified</x:v>
      </x:c>
    </x:row>
    <x:row r="195" ht="60" customHeight="1">
      <x:c r="A195" s="4" t="n">
        <x:v>190</x:v>
      </x:c>
      <x:c r="B195" s="5" t="str">
        <x:v>Ikashi Data Centre Theme</x:v>
      </x:c>
      <x:c r="C195" s="5" t="str">
        <x:v>IKASHI FINTECH PRIVATE LIMITED</x:v>
      </x:c>
      <x:c r="D195" s="5" t="str">
        <x:v>Sector / industry theme</x:v>
      </x:c>
      <x:c r="E195" s="5" t="str">
        <x:v>AI, data centres &amp; digital infrastructure</x:v>
      </x:c>
      <x:c r="F195" s="5" t="str">
        <x:v>Other / not specified</x:v>
      </x:c>
      <x:c r="G195" s="6" t="n">
        <x:v>35839</x:v>
      </x:c>
      <x:c r="H195" s="4" t="str">
        <x:v>High</x:v>
      </x:c>
      <x:c r="I195" s="4" t="str">
        <x:v>Fee based</x:v>
      </x:c>
      <x:c r="J195" s="6" t="n">
        <x:v>1475</x:v>
      </x:c>
      <x:c r="K195" s="5" t="str">
        <x:v>Riding on the backbone of India's AI revolution — Data Centres &amp; its ecosystem</x:v>
      </x:c>
      <x:c r="L195" s="5" t="str">
        <x:v>Title and listing description</x:v>
      </x:c>
      <x:c r="M195" s="7" t="d">
        <x:v>2026-07-02T00:00:00.000Z</x:v>
      </x:c>
      <x:c r="N195" s="8" t="str">
        <x:v>https://www.smallcase.com/smallcase/ikashi-thematic-advantage-theme-IFPLNM_0005</x:v>
      </x:c>
      <x:c r="O195" s="4" t="str">
        <x:v>IFPLNM_0005</x:v>
      </x:c>
      <x:c r="P195" s="5" t="str"/>
    </x:row>
    <x:row r="196" ht="60" customHeight="1">
      <x:c r="A196" s="4" t="n">
        <x:v>191</x:v>
      </x:c>
      <x:c r="B196" s="5" t="str">
        <x:v>EquiPower Smallcap Fundamental</x:v>
      </x:c>
      <x:c r="C196" s="5" t="str">
        <x:v>Equivision Consulting</x:v>
      </x:c>
      <x:c r="D196" s="5" t="str">
        <x:v>Event / ownership / listing theme</x:v>
      </x:c>
      <x:c r="E196" s="5" t="str">
        <x:v>No specific industry mandate identified</x:v>
      </x:c>
      <x:c r="F196" s="5" t="str">
        <x:v>Fundamental / growth / quality</x:v>
      </x:c>
      <x:c r="G196" s="6" t="n">
        <x:v>207958</x:v>
      </x:c>
      <x:c r="H196" s="4" t="str">
        <x:v>High</x:v>
      </x:c>
      <x:c r="I196" s="4" t="str">
        <x:v>Fee based</x:v>
      </x:c>
      <x:c r="J196" s="6" t="n">
        <x:v>1233</x:v>
      </x:c>
      <x:c r="K196" s="5" t="str">
        <x:v>20-30 Stocks: High-growth smallcap companies - strong fundamentals &amp; earnings visibility</x:v>
      </x:c>
      <x:c r="L196" s="5" t="str">
        <x:v>No sector tags assigned; see description</x:v>
      </x:c>
      <x:c r="M196" s="7" t="d">
        <x:v>2026-09-30T00:00:00.000Z</x:v>
      </x:c>
      <x:c r="N196" s="8" t="str">
        <x:v>https://www.smallcase.com/smallcase/equipower-smallcap-fundamental-EREQFMM_0010</x:v>
      </x:c>
      <x:c r="O196" s="4" t="str">
        <x:v>EREQFMM_0010</x:v>
      </x:c>
      <x:c r="P196" s="5" t="str">
        <x:v>Event / ownership / listing theme</x:v>
      </x:c>
    </x:row>
    <x:row r="197" ht="60" customHeight="1">
      <x:c r="A197" s="4" t="n">
        <x:v>192</x:v>
      </x:c>
      <x:c r="B197" s="5" t="str">
        <x:v>Drone Growth Model</x:v>
      </x:c>
      <x:c r="C197" s="5" t="str">
        <x:v>Growth Investing</x:v>
      </x:c>
      <x:c r="D197" s="5" t="str">
        <x:v>Sector / industry theme</x:v>
      </x:c>
      <x:c r="E197" s="5" t="str">
        <x:v>Defence &amp; aerospace</x:v>
      </x:c>
      <x:c r="F197" s="5" t="str">
        <x:v>Fundamental / growth / quality</x:v>
      </x:c>
      <x:c r="G197" s="6" t="n">
        <x:v>2878</x:v>
      </x:c>
      <x:c r="H197" s="4" t="str">
        <x:v>Low</x:v>
      </x:c>
      <x:c r="I197" s="4" t="str">
        <x:v>Fee based</x:v>
      </x:c>
      <x:c r="J197" s="6" t="n">
        <x:v>729</x:v>
      </x:c>
      <x:c r="K197" s="5" t="str">
        <x:v>Drone Infra, manufacturing, Drone based Services: Agri-tech, Delivery, Surveillance &amp; Defence.</x:v>
      </x:c>
      <x:c r="L197" s="5" t="str">
        <x:v>Title and listing description</x:v>
      </x:c>
      <x:c r="M197" s="7" t="d">
        <x:v>2026-09-29T00:00:00.000Z</x:v>
      </x:c>
      <x:c r="N197" s="8" t="str">
        <x:v>https://www.smallcase.com/smallcase/drone-growth-model-GRINMX_0013</x:v>
      </x:c>
      <x:c r="O197" s="4" t="str">
        <x:v>GRINMX_0013</x:v>
      </x:c>
      <x:c r="P197" s="5" t="str"/>
    </x:row>
    <x:row r="198" ht="60" customHeight="1">
      <x:c r="A198" s="4" t="n">
        <x:v>193</x:v>
      </x:c>
      <x:c r="B198" s="5" t="str">
        <x:v>CT Defence Compounders Theme</x:v>
      </x:c>
      <x:c r="C198" s="5" t="str">
        <x:v>CA Tapan Doshi</x:v>
      </x:c>
      <x:c r="D198" s="5" t="str">
        <x:v>Sector / industry theme</x:v>
      </x:c>
      <x:c r="E198" s="5" t="str">
        <x:v>Defence &amp; aerospace</x:v>
      </x:c>
      <x:c r="F198" s="5" t="str">
        <x:v>Fundamental / growth / quality</x:v>
      </x:c>
      <x:c r="G198" s="6" t="n">
        <x:v>170944</x:v>
      </x:c>
      <x:c r="H198" s="4" t="str">
        <x:v>High</x:v>
      </x:c>
      <x:c r="I198" s="4" t="str">
        <x:v>Fee based</x:v>
      </x:c>
      <x:c r="J198" s="6" t="n">
        <x:v>749</x:v>
      </x:c>
      <x:c r="K198" s="5" t="str">
        <x:v>Defence sector portfolio capturing India’s indigenisation, exports, and long-term military spending</x:v>
      </x:c>
      <x:c r="L198" s="5" t="str">
        <x:v>Title and listing description</x:v>
      </x:c>
      <x:c r="M198" s="7" t="d">
        <x:v>2026-09-03T00:00:00.000Z</x:v>
      </x:c>
      <x:c r="N198" s="8" t="str">
        <x:v>https://www.smallcase.com/smallcase/ct-defence-compounders-theme-THIVNM_0002</x:v>
      </x:c>
      <x:c r="O198" s="4" t="str">
        <x:v>THIVNM_0002</x:v>
      </x:c>
      <x:c r="P198" s="5" t="str"/>
    </x:row>
    <x:row r="199" ht="60" customHeight="1">
      <x:c r="A199" s="4" t="n">
        <x:v>194</x:v>
      </x:c>
      <x:c r="B199" s="5" t="str">
        <x:v>Aviation &amp; Aerospace Quant</x:v>
      </x:c>
      <x:c r="C199" s="5" t="str">
        <x:v>Growth Investing</x:v>
      </x:c>
      <x:c r="D199" s="5" t="str">
        <x:v>Sector / industry theme</x:v>
      </x:c>
      <x:c r="E199" s="5" t="str">
        <x:v>Defence &amp; aerospace; Logistics, transport &amp; aviation</x:v>
      </x:c>
      <x:c r="F199" s="5" t="str">
        <x:v>Quant / factor</x:v>
      </x:c>
      <x:c r="G199" s="6" t="n">
        <x:v>53380</x:v>
      </x:c>
      <x:c r="H199" s="4" t="str">
        <x:v>Medium</x:v>
      </x:c>
      <x:c r="I199" s="4" t="str">
        <x:v>Fee based</x:v>
      </x:c>
      <x:c r="J199" s="6" t="n">
        <x:v>612</x:v>
      </x:c>
      <x:c r="K199" s="5" t="str">
        <x:v>High-Growth Aviation &amp; Aerospace Ecosystem — From Airports to Engineering to Air Supply Chains</x:v>
      </x:c>
      <x:c r="L199" s="5" t="str">
        <x:v>Title and listing description</x:v>
      </x:c>
      <x:c r="M199" s="7" t="d">
        <x:v>2026-10-28T00:00:00.000Z</x:v>
      </x:c>
      <x:c r="N199" s="8" t="str">
        <x:v>https://www.smallcase.com/smallcase/aviation-and-aerospace-quant-GRINQM_0006</x:v>
      </x:c>
      <x:c r="O199" s="4" t="str">
        <x:v>GRINQM_0006</x:v>
      </x:c>
      <x:c r="P199" s="5" t="str"/>
    </x:row>
    <x:row r="200" ht="60" customHeight="1">
      <x:c r="A200" s="4" t="n">
        <x:v>195</x:v>
      </x:c>
      <x:c r="B200" s="5" t="str">
        <x:v>FINZ Helios Rotation Basket Quant</x:v>
      </x:c>
      <x:c r="C200" s="5" t="str">
        <x:v>Finkhoz Roboadvisory Services Private Limited</x:v>
      </x:c>
      <x:c r="D200" s="5" t="str">
        <x:v>Sector / theme rotation</x:v>
      </x:c>
      <x:c r="E200" s="5" t="str">
        <x:v>No specific industry mandate identified</x:v>
      </x:c>
      <x:c r="F200" s="5" t="str">
        <x:v>Sector / theme rotation</x:v>
      </x:c>
      <x:c r="G200" s="6" t="n">
        <x:v>49651</x:v>
      </x:c>
      <x:c r="H200" s="4" t="str">
        <x:v>Medium</x:v>
      </x:c>
      <x:c r="I200" s="4" t="str">
        <x:v>Fee based</x:v>
      </x:c>
      <x:c r="J200" s="6" t="n">
        <x:v>504</x:v>
      </x:c>
      <x:c r="K200" s="5" t="str">
        <x:v>Capturing sector leaders through momentum, relative strength and rate of change.</x:v>
      </x:c>
      <x:c r="L200" s="5" t="str">
        <x:v>No sector tags assigned; see description</x:v>
      </x:c>
      <x:c r="M200" s="7" t="d">
        <x:v>2026-10-26T00:00:00.000Z</x:v>
      </x:c>
      <x:c r="N200" s="8" t="str">
        <x:v>https://www.smallcase.com/smallcase/finz-helios-rotation-basket-quant-FIROQM_0009</x:v>
      </x:c>
      <x:c r="O200" s="4" t="str">
        <x:v>FIROQM_0009</x:v>
      </x:c>
      <x:c r="P200" s="5" t="str">
        <x:v>Sector / theme rotation</x:v>
      </x:c>
    </x:row>
    <x:row r="201" ht="60" customHeight="1">
      <x:c r="A201" s="4" t="n">
        <x:v>196</x:v>
      </x:c>
      <x:c r="B201" s="5" t="str">
        <x:v>FINZ Defence Basket Theme</x:v>
      </x:c>
      <x:c r="C201" s="5" t="str">
        <x:v>Finkhoz Roboadvisory Services Private Limited</x:v>
      </x:c>
      <x:c r="D201" s="5" t="str">
        <x:v>Sector / industry theme</x:v>
      </x:c>
      <x:c r="E201" s="5" t="str">
        <x:v>Defence &amp; aerospace</x:v>
      </x:c>
      <x:c r="F201" s="5" t="str">
        <x:v>Other / not specified</x:v>
      </x:c>
      <x:c r="G201" s="6" t="n">
        <x:v>23327</x:v>
      </x:c>
      <x:c r="H201" s="4" t="str">
        <x:v>High</x:v>
      </x:c>
      <x:c r="I201" s="4" t="str">
        <x:v>Fee based</x:v>
      </x:c>
      <x:c r="J201" s="6" t="n">
        <x:v>504</x:v>
      </x:c>
      <x:c r="K201" s="5" t="str">
        <x:v>Focused basket of defence companies positioned to benefit from India's growing defence &amp; aerospace.</x:v>
      </x:c>
      <x:c r="L201" s="5" t="str">
        <x:v>Title and listing description</x:v>
      </x:c>
      <x:c r="M201" s="7" t="d">
        <x:v>2026-10-26T00:00:00.000Z</x:v>
      </x:c>
      <x:c r="N201" s="8" t="str">
        <x:v>https://www.smallcase.com/smallcase/finz-defence-baket-theme-FIRONM_0003</x:v>
      </x:c>
      <x:c r="O201" s="4" t="str">
        <x:v>FIRONM_0003</x:v>
      </x:c>
      <x:c r="P201" s="5" t="str"/>
    </x:row>
    <x:row r="202" ht="60" customHeight="1">
      <x:c r="A202" s="4" t="n">
        <x:v>197</x:v>
      </x:c>
      <x:c r="B202" s="5" t="str">
        <x:v>CWA NanoCaps Quant</x:v>
      </x:c>
      <x:c r="C202" s="5" t="str">
        <x:v>Compounding Wealth Advisors</x:v>
      </x:c>
      <x:c r="D202" s="5" t="str">
        <x:v>Diversified / strategy</x:v>
      </x:c>
      <x:c r="E202" s="5" t="str">
        <x:v>No specific industry mandate identified</x:v>
      </x:c>
      <x:c r="F202" s="5" t="str">
        <x:v>Quant / factor</x:v>
      </x:c>
      <x:c r="G202" s="6" t="n">
        <x:v>136842</x:v>
      </x:c>
      <x:c r="H202" s="4" t="str">
        <x:v>High</x:v>
      </x:c>
      <x:c r="I202" s="4" t="str">
        <x:v>Fee based</x:v>
      </x:c>
      <x:c r="J202" s="6" t="n">
        <x:v>983</x:v>
      </x:c>
      <x:c r="K202" s="5" t="str">
        <x:v>Systematic Investing in outperforming stocks outside Total Market Index.Recmd amt : 5-15 lacs</x:v>
      </x:c>
      <x:c r="L202" s="5" t="str">
        <x:v>No sector tags assigned; see description</x:v>
      </x:c>
      <x:c r="M202" s="7" t="d">
        <x:v>2026-10-26T00:00:00.000Z</x:v>
      </x:c>
      <x:c r="N202" s="8" t="str">
        <x:v>https://www.smallcase.com/smallcase/cwa-nanocaps-quant-COWAQM_0009</x:v>
      </x:c>
      <x:c r="O202" s="4" t="str">
        <x:v>COWAQM_0009</x:v>
      </x:c>
      <x:c r="P202" s="5" t="str">
        <x:v>Diversified; sector mandate not specified</x:v>
      </x:c>
    </x:row>
    <x:row r="203" ht="60" customHeight="1">
      <x:c r="A203" s="4" t="n">
        <x:v>198</x:v>
      </x:c>
      <x:c r="B203" s="5" t="str">
        <x:v>True Turtles Swing Select Quant</x:v>
      </x:c>
      <x:c r="C203" s="5" t="str">
        <x:v>TRUE TURTLES RESEARCH</x:v>
      </x:c>
      <x:c r="D203" s="5" t="str">
        <x:v>Diversified / strategy</x:v>
      </x:c>
      <x:c r="E203" s="5" t="str">
        <x:v>No specific industry mandate identified</x:v>
      </x:c>
      <x:c r="F203" s="5" t="str">
        <x:v>Quant / factor</x:v>
      </x:c>
      <x:c r="G203" s="6" t="n">
        <x:v>124367</x:v>
      </x:c>
      <x:c r="H203" s="4" t="str">
        <x:v>Medium</x:v>
      </x:c>
      <x:c r="I203" s="4" t="str">
        <x:v>Fee based</x:v>
      </x:c>
      <x:c r="J203" s="6" t="n">
        <x:v>885</x:v>
      </x:c>
      <x:c r="K203" s="5" t="str">
        <x:v>Systematic Swing Trades. Catch the Move, Exit with Discipline. Repeat.</x:v>
      </x:c>
      <x:c r="L203" s="5" t="str">
        <x:v>No sector tags assigned; see description</x:v>
      </x:c>
      <x:c r="M203" s="7" t="d">
        <x:v>2026-10-27T00:00:00.000Z</x:v>
      </x:c>
      <x:c r="N203" s="8" t="str">
        <x:v>https://www.smallcase.com/smallcase/true-turtles-swing-select-quant-TRTUQM_0002</x:v>
      </x:c>
      <x:c r="O203" s="4" t="str">
        <x:v>TRTUQM_0002</x:v>
      </x:c>
      <x:c r="P203" s="5" t="str">
        <x:v>Diversified; sector mandate not specified</x:v>
      </x:c>
    </x:row>
    <x:row r="204" ht="60" customHeight="1">
      <x:c r="A204" s="4" t="n">
        <x:v>199</x:v>
      </x:c>
      <x:c r="B204" s="5" t="str">
        <x:v>Caprize Dynamic Sector Allocator Fundamental</x:v>
      </x:c>
      <x:c r="C204" s="5" t="str">
        <x:v>CAPRIZE INVESTMENT MANAGERS PRIVATE LIMITED</x:v>
      </x:c>
      <x:c r="D204" s="5" t="str">
        <x:v>Sector / theme rotation</x:v>
      </x:c>
      <x:c r="E204" s="5" t="str">
        <x:v>No specific industry mandate identified</x:v>
      </x:c>
      <x:c r="F204" s="5" t="str">
        <x:v>Sector / theme rotation</x:v>
      </x:c>
      <x:c r="G204" s="6" t="n">
        <x:v>1000000</x:v>
      </x:c>
      <x:c r="H204" s="4" t="str">
        <x:v>Medium</x:v>
      </x:c>
      <x:c r="I204" s="4" t="str">
        <x:v>Fee based</x:v>
      </x:c>
      <x:c r="J204" s="6" t="n">
        <x:v>3245</x:v>
      </x:c>
      <x:c r="K204" s="5" t="str">
        <x:v>A manufacturing and new-age business led, India growth story approach across all Market Cap &amp; Sector</x:v>
      </x:c>
      <x:c r="L204" s="5" t="str">
        <x:v>No sector tags assigned; see description</x:v>
      </x:c>
      <x:c r="M204" s="7"/>
      <x:c r="N204" s="8" t="str">
        <x:v>https://www.smallcase.com/smallcase/caprize-dynamic-sector-allocator-fundamental-CAPIFMM_0001</x:v>
      </x:c>
      <x:c r="O204" s="4" t="str">
        <x:v>CAPIFMM_0001</x:v>
      </x:c>
      <x:c r="P204" s="5" t="str">
        <x:v>Sector / theme rotation</x:v>
      </x:c>
    </x:row>
    <x:row r="205" ht="60" customHeight="1">
      <x:c r="A205" s="4" t="n">
        <x:v>200</x:v>
      </x:c>
      <x:c r="B205" s="5" t="str">
        <x:v>Smallcap Quality &amp; Growth Model</x:v>
      </x:c>
      <x:c r="C205" s="5" t="str">
        <x:v>Windmill Capital</x:v>
      </x:c>
      <x:c r="D205" s="5" t="str">
        <x:v>Diversified / strategy</x:v>
      </x:c>
      <x:c r="E205" s="5" t="str">
        <x:v>No specific industry mandate identified</x:v>
      </x:c>
      <x:c r="F205" s="5" t="str">
        <x:v>Fundamental / growth / quality</x:v>
      </x:c>
      <x:c r="G205" s="6" t="n">
        <x:v>36731</x:v>
      </x:c>
      <x:c r="H205" s="4" t="str">
        <x:v>High</x:v>
      </x:c>
      <x:c r="I205" s="4" t="str">
        <x:v>Fee based</x:v>
      </x:c>
      <x:c r="J205" s="6" t="n">
        <x:v>545</x:v>
      </x:c>
      <x:c r="K205" s="5" t="str">
        <x:v>Quality stocks showing consistent earnings growth</x:v>
      </x:c>
      <x:c r="L205" s="5" t="str">
        <x:v>No sector tags assigned; see description</x:v>
      </x:c>
      <x:c r="M205" s="7" t="d">
        <x:v>2026-09-16T00:00:00.000Z</x:v>
      </x:c>
      <x:c r="N205" s="8" t="str">
        <x:v>https://www.smallcase.com/smallcase/straight-flush-SCMO_0007</x:v>
      </x:c>
      <x:c r="O205" s="4" t="str">
        <x:v>SCMO_0007</x:v>
      </x:c>
      <x:c r="P205" s="5" t="str">
        <x:v>Diversified; sector mandate not specified</x:v>
      </x:c>
    </x:row>
    <x:row r="206" ht="60" customHeight="1">
      <x:c r="A206" s="4" t="n">
        <x:v>201</x:v>
      </x:c>
      <x:c r="B206" s="5" t="str">
        <x:v>Brand Value Theme</x:v>
      </x:c>
      <x:c r="C206" s="5" t="str">
        <x:v>Windmill Capital</x:v>
      </x:c>
      <x:c r="D206" s="5" t="str">
        <x:v>Sector / industry theme</x:v>
      </x:c>
      <x:c r="E206" s="5" t="str">
        <x:v>Consumer, FMCG &amp; durables</x:v>
      </x:c>
      <x:c r="F206" s="5" t="str">
        <x:v>Value / contrarian</x:v>
      </x:c>
      <x:c r="G206" s="6" t="n">
        <x:v>89123</x:v>
      </x:c>
      <x:c r="H206" s="4" t="str">
        <x:v>Medium</x:v>
      </x:c>
      <x:c r="I206" s="4" t="str">
        <x:v>Fee based</x:v>
      </x:c>
      <x:c r="J206" s="6" t="n">
        <x:v>545</x:v>
      </x:c>
      <x:c r="K206" s="5" t="str">
        <x:v>Companies that own India's everyday brands. Top consumer favorites</x:v>
      </x:c>
      <x:c r="L206" s="5" t="str">
        <x:v>Title and listing description</x:v>
      </x:c>
      <x:c r="M206" s="7" t="d">
        <x:v>2026-09-17T00:00:00.000Z</x:v>
      </x:c>
      <x:c r="N206" s="8" t="str">
        <x:v>https://www.smallcase.com/smallcase/brand-value-SCNM_0007</x:v>
      </x:c>
      <x:c r="O206" s="4" t="str">
        <x:v>SCNM_0007</x:v>
      </x:c>
      <x:c r="P206" s="5" t="str"/>
    </x:row>
    <x:row r="207" ht="60" customHeight="1">
      <x:c r="A207" s="4" t="n">
        <x:v>202</x:v>
      </x:c>
      <x:c r="B207" s="5" t="str">
        <x:v>Dividend Smart Beta</x:v>
      </x:c>
      <x:c r="C207" s="5" t="str">
        <x:v>Windmill Capital</x:v>
      </x:c>
      <x:c r="D207" s="5" t="str">
        <x:v>Diversified / strategy</x:v>
      </x:c>
      <x:c r="E207" s="5" t="str">
        <x:v>No specific industry mandate identified</x:v>
      </x:c>
      <x:c r="F207" s="5" t="str">
        <x:v>Dividend / income</x:v>
      </x:c>
      <x:c r="G207" s="6" t="n">
        <x:v>101838</x:v>
      </x:c>
      <x:c r="H207" s="4" t="str">
        <x:v>Medium</x:v>
      </x:c>
      <x:c r="I207" s="4" t="str">
        <x:v>Fee based</x:v>
      </x:c>
      <x:c r="J207" s="6" t="n">
        <x:v>545</x:v>
      </x:c>
      <x:c r="K207" s="5" t="str">
        <x:v>Companies increasing their dividends on a consistent basis</x:v>
      </x:c>
      <x:c r="L207" s="5" t="str">
        <x:v>No sector tags assigned; see description</x:v>
      </x:c>
      <x:c r="M207" s="7" t="d">
        <x:v>2026-07-08T00:00:00.000Z</x:v>
      </x:c>
      <x:c r="N207" s="8" t="str">
        <x:v>https://www.smallcase.com/smallcase/dividend-smart-beta-SCSB_0001</x:v>
      </x:c>
      <x:c r="O207" s="4" t="str">
        <x:v>SCSB_0001</x:v>
      </x:c>
      <x:c r="P207" s="5" t="str">
        <x:v>Diversified; sector mandate not specified</x:v>
      </x:c>
    </x:row>
    <x:row r="208" ht="60" customHeight="1">
      <x:c r="A208" s="4" t="n">
        <x:v>203</x:v>
      </x:c>
      <x:c r="B208" s="5" t="str">
        <x:v>Low Risk Smart Beta</x:v>
      </x:c>
      <x:c r="C208" s="5" t="str">
        <x:v>Windmill Capital</x:v>
      </x:c>
      <x:c r="D208" s="5" t="str">
        <x:v>Diversified / strategy</x:v>
      </x:c>
      <x:c r="E208" s="5" t="str">
        <x:v>No specific industry mandate identified</x:v>
      </x:c>
      <x:c r="F208" s="5" t="str">
        <x:v>Quant / factor</x:v>
      </x:c>
      <x:c r="G208" s="6" t="n">
        <x:v>74853</x:v>
      </x:c>
      <x:c r="H208" s="4" t="str">
        <x:v>Medium</x:v>
      </x:c>
      <x:c r="I208" s="4" t="str">
        <x:v>Fee based</x:v>
      </x:c>
      <x:c r="J208" s="6" t="n">
        <x:v>545</x:v>
      </x:c>
      <x:c r="K208" s="5" t="str">
        <x:v>A low volatile portfolio that aims for high returns. Passive investing with a twist</x:v>
      </x:c>
      <x:c r="L208" s="5" t="str">
        <x:v>No sector tags assigned; see description</x:v>
      </x:c>
      <x:c r="M208" s="7" t="d">
        <x:v>2026-09-15T00:00:00.000Z</x:v>
      </x:c>
      <x:c r="N208" s="8" t="str">
        <x:v>https://www.smallcase.com/smallcase/low-risk-smart-beta-SCSB_0003</x:v>
      </x:c>
      <x:c r="O208" s="4" t="str">
        <x:v>SCSB_0003</x:v>
      </x:c>
      <x:c r="P208" s="5" t="str">
        <x:v>Diversified; sector mandate not specified</x:v>
      </x:c>
    </x:row>
    <x:row r="209" ht="60" customHeight="1">
      <x:c r="A209" s="4" t="n">
        <x:v>204</x:v>
      </x:c>
      <x:c r="B209" s="5" t="str">
        <x:v>Quality Smart Beta</x:v>
      </x:c>
      <x:c r="C209" s="5" t="str">
        <x:v>Windmill Capital</x:v>
      </x:c>
      <x:c r="D209" s="5" t="str">
        <x:v>Diversified / strategy</x:v>
      </x:c>
      <x:c r="E209" s="5" t="str">
        <x:v>No specific industry mandate identified</x:v>
      </x:c>
      <x:c r="F209" s="5" t="str">
        <x:v>Quant / factor</x:v>
      </x:c>
      <x:c r="G209" s="6" t="n">
        <x:v>63137</x:v>
      </x:c>
      <x:c r="H209" s="4" t="str">
        <x:v>Medium</x:v>
      </x:c>
      <x:c r="I209" s="4" t="str">
        <x:v>Fee based</x:v>
      </x:c>
      <x:c r="J209" s="6" t="n">
        <x:v>545</x:v>
      </x:c>
      <x:c r="K209" s="5" t="str">
        <x:v>Established companies that have stood the test of time. Timeless classics</x:v>
      </x:c>
      <x:c r="L209" s="5" t="str">
        <x:v>No sector tags assigned; see description</x:v>
      </x:c>
      <x:c r="M209" s="7" t="d">
        <x:v>2026-09-18T00:00:00.000Z</x:v>
      </x:c>
      <x:c r="N209" s="8" t="str">
        <x:v>https://www.smallcase.com/smallcase/quality-smart-beta-SCSB_0004</x:v>
      </x:c>
      <x:c r="O209" s="4" t="str">
        <x:v>SCSB_0004</x:v>
      </x:c>
      <x:c r="P209" s="5" t="str">
        <x:v>Diversified; sector mandate not specified</x:v>
      </x:c>
    </x:row>
    <x:row r="210" ht="60" customHeight="1">
      <x:c r="A210" s="4" t="n">
        <x:v>205</x:v>
      </x:c>
      <x:c r="B210" s="5" t="str">
        <x:v>APNA STAYVAN Quant</x:v>
      </x:c>
      <x:c r="C210" s="5" t="str">
        <x:v>Stayvan</x:v>
      </x:c>
      <x:c r="D210" s="5" t="str">
        <x:v>Diversified / strategy</x:v>
      </x:c>
      <x:c r="E210" s="5" t="str">
        <x:v>No specific industry mandate identified</x:v>
      </x:c>
      <x:c r="F210" s="5" t="str">
        <x:v>Quant / factor</x:v>
      </x:c>
      <x:c r="G210" s="6" t="n">
        <x:v>12888</x:v>
      </x:c>
      <x:c r="H210" s="4" t="str">
        <x:v>High</x:v>
      </x:c>
      <x:c r="I210" s="4" t="str">
        <x:v>Fee based</x:v>
      </x:c>
      <x:c r="J210" s="6" t="n">
        <x:v>499</x:v>
      </x:c>
      <x:c r="K210" s="5" t="str">
        <x:v>SIP buying, structured exits, capital compounding strategy and equity building in stocks under ₹100</x:v>
      </x:c>
      <x:c r="L210" s="5" t="str">
        <x:v>No sector tags assigned; see description</x:v>
      </x:c>
      <x:c r="M210" s="7" t="d">
        <x:v>2026-10-16T00:00:00.000Z</x:v>
      </x:c>
      <x:c r="N210" s="8" t="str">
        <x:v>https://www.smallcase.com/smallcase/taare-zameen-par-the-stayvan-sip-way-SYVMO_0003</x:v>
      </x:c>
      <x:c r="O210" s="4" t="str">
        <x:v>SYVMO_0003</x:v>
      </x:c>
      <x:c r="P210" s="5" t="str">
        <x:v>Diversified; sector mandate not specified</x:v>
      </x:c>
    </x:row>
    <x:row r="211" ht="60" customHeight="1">
      <x:c r="A211" s="4" t="n">
        <x:v>206</x:v>
      </x:c>
      <x:c r="B211" s="5" t="str">
        <x:v>FG-HUM - Human Plus Machine Model</x:v>
      </x:c>
      <x:c r="C211" s="5" t="str">
        <x:v>First Global Finance Private Limited</x:v>
      </x:c>
      <x:c r="D211" s="5" t="str">
        <x:v>Diversified / strategy</x:v>
      </x:c>
      <x:c r="E211" s="5" t="str">
        <x:v>No specific industry mandate identified</x:v>
      </x:c>
      <x:c r="F211" s="5" t="str">
        <x:v>Other / not specified</x:v>
      </x:c>
      <x:c r="G211" s="6" t="n">
        <x:v>243143</x:v>
      </x:c>
      <x:c r="H211" s="4" t="str">
        <x:v>Medium</x:v>
      </x:c>
      <x:c r="I211" s="4" t="str">
        <x:v>Fee based</x:v>
      </x:c>
      <x:c r="J211" s="6" t="n">
        <x:v>1475</x:v>
      </x:c>
      <x:c r="K211" s="5" t="str">
        <x:v>Portfolio of 25-30 stocks, based on FG’s Human + Machine Model, to simplify your equity investing.</x:v>
      </x:c>
      <x:c r="L211" s="5" t="str">
        <x:v>No sector tags assigned; see description</x:v>
      </x:c>
      <x:c r="M211" s="7" t="d">
        <x:v>2026-09-01T00:00:00.000Z</x:v>
      </x:c>
      <x:c r="N211" s="8" t="str">
        <x:v>https://www.smallcase.com/smallcase/fg-hum-first-global-human-+-machine-model-FIGOMO_0001</x:v>
      </x:c>
      <x:c r="O211" s="4" t="str">
        <x:v>FIGOMO_0001</x:v>
      </x:c>
      <x:c r="P211" s="5" t="str">
        <x:v>Diversified; sector mandate not specified</x:v>
      </x:c>
    </x:row>
    <x:row r="212" ht="60" customHeight="1">
      <x:c r="A212" s="4" t="n">
        <x:v>207</x:v>
      </x:c>
      <x:c r="B212" s="5" t="str">
        <x:v>Wealth Compunders Growth Model</x:v>
      </x:c>
      <x:c r="C212" s="5" t="str">
        <x:v>Candor Investing</x:v>
      </x:c>
      <x:c r="D212" s="5" t="str">
        <x:v>Diversified / strategy</x:v>
      </x:c>
      <x:c r="E212" s="5" t="str">
        <x:v>No specific industry mandate identified</x:v>
      </x:c>
      <x:c r="F212" s="5" t="str">
        <x:v>Fundamental / growth / quality</x:v>
      </x:c>
      <x:c r="G212" s="6" t="n">
        <x:v>72073</x:v>
      </x:c>
      <x:c r="H212" s="4" t="str">
        <x:v>High</x:v>
      </x:c>
      <x:c r="I212" s="4" t="str">
        <x:v>Fee based</x:v>
      </x:c>
      <x:c r="J212" s="6" t="n">
        <x:v>983</x:v>
      </x:c>
      <x:c r="K212" s="5" t="str">
        <x:v>We invest in a basket of 8-10 businesses that have a high growth potential.</x:v>
      </x:c>
      <x:c r="L212" s="5" t="str">
        <x:v>No sector tags assigned; see description</x:v>
      </x:c>
      <x:c r="M212" s="7" t="d">
        <x:v>2026-04-16T00:00:00.000Z</x:v>
      </x:c>
      <x:c r="N212" s="8" t="str">
        <x:v>https://www.smallcase.com/smallcase/candor-investing-wealth-compunders-UNVMO_0003</x:v>
      </x:c>
      <x:c r="O212" s="4" t="str">
        <x:v>UNVMO_0003</x:v>
      </x:c>
      <x:c r="P212" s="5" t="str">
        <x:v>Diversified; sector mandate not specified</x:v>
      </x:c>
    </x:row>
    <x:row r="213" ht="60" customHeight="1">
      <x:c r="A213" s="4" t="n">
        <x:v>208</x:v>
      </x:c>
      <x:c r="B213" s="5" t="str">
        <x:v>Lotusdew Listed Venture Capital Theme</x:v>
      </x:c>
      <x:c r="C213" s="5" t="str">
        <x:v>Lotusdew Wealth</x:v>
      </x:c>
      <x:c r="D213" s="5" t="str">
        <x:v>Event / ownership / listing theme</x:v>
      </x:c>
      <x:c r="E213" s="5" t="str">
        <x:v>No specific industry mandate identified</x:v>
      </x:c>
      <x:c r="F213" s="5" t="str">
        <x:v>Fundamental / growth / quality</x:v>
      </x:c>
      <x:c r="G213" s="6" t="n">
        <x:v>58779</x:v>
      </x:c>
      <x:c r="H213" s="4" t="str">
        <x:v>High</x:v>
      </x:c>
      <x:c r="I213" s="4" t="str">
        <x:v>Fee based</x:v>
      </x:c>
      <x:c r="J213" s="6" t="n">
        <x:v>1248</x:v>
      </x:c>
      <x:c r="K213" s="5" t="str">
        <x:v>Venture Capital style investments into small listed companies with quality governance board &amp; quality earnings poised to grow</x:v>
      </x:c>
      <x:c r="L213" s="5" t="str">
        <x:v>No sector tags assigned; see description</x:v>
      </x:c>
      <x:c r="M213" s="7" t="d">
        <x:v>2026-09-03T00:00:00.000Z</x:v>
      </x:c>
      <x:c r="N213" s="8" t="str">
        <x:v>https://www.smallcase.com/smallcase/listed-venture-capital-LTDMO_0001</x:v>
      </x:c>
      <x:c r="O213" s="4" t="str">
        <x:v>LTDMO_0001</x:v>
      </x:c>
      <x:c r="P213" s="5" t="str">
        <x:v>Event / ownership / listing theme</x:v>
      </x:c>
    </x:row>
    <x:row r="214" ht="60" customHeight="1">
      <x:c r="A214" s="4" t="n">
        <x:v>209</x:v>
      </x:c>
      <x:c r="B214" s="5" t="str">
        <x:v>Balanced Multi Factor Model</x:v>
      </x:c>
      <x:c r="C214" s="5" t="str">
        <x:v>Wright Research</x:v>
      </x:c>
      <x:c r="D214" s="5" t="str">
        <x:v>Diversified / strategy</x:v>
      </x:c>
      <x:c r="E214" s="5" t="str">
        <x:v>No specific industry mandate identified</x:v>
      </x:c>
      <x:c r="F214" s="5" t="str">
        <x:v>Quant / factor</x:v>
      </x:c>
      <x:c r="G214" s="6" t="n">
        <x:v>41988</x:v>
      </x:c>
      <x:c r="H214" s="4" t="str">
        <x:v>High</x:v>
      </x:c>
      <x:c r="I214" s="4" t="str">
        <x:v>Fee based</x:v>
      </x:c>
      <x:c r="J214" s="6" t="n">
        <x:v>600</x:v>
      </x:c>
      <x:c r="K214" s="5" t="str">
        <x:v>Mastering Factor Investing: Diversify, Adapt, and Grow with Wright Balanced.</x:v>
      </x:c>
      <x:c r="L214" s="5" t="str">
        <x:v>No sector tags assigned; see description</x:v>
      </x:c>
      <x:c r="M214" s="7" t="d">
        <x:v>2026-10-26T00:00:00.000Z</x:v>
      </x:c>
      <x:c r="N214" s="8" t="str">
        <x:v>https://www.smallcase.com/smallcase/multi-factor-tactical-smaller-investments-WRTMO_0003</x:v>
      </x:c>
      <x:c r="O214" s="4" t="str">
        <x:v>WRTMO_0003</x:v>
      </x:c>
      <x:c r="P214" s="5" t="str">
        <x:v>Diversified; sector mandate not specified</x:v>
      </x:c>
    </x:row>
    <x:row r="215" ht="60" customHeight="1">
      <x:c r="A215" s="4" t="n">
        <x:v>210</x:v>
      </x:c>
      <x:c r="B215" s="5" t="str">
        <x:v>Omni SmallCap Supertrons Fundamental</x:v>
      </x:c>
      <x:c r="C215" s="5" t="str">
        <x:v>Omniscience Capital</x:v>
      </x:c>
      <x:c r="D215" s="5" t="str">
        <x:v>Diversified / strategy</x:v>
      </x:c>
      <x:c r="E215" s="5" t="str">
        <x:v>No specific industry mandate identified</x:v>
      </x:c>
      <x:c r="F215" s="5" t="str">
        <x:v>Fundamental / growth / quality</x:v>
      </x:c>
      <x:c r="G215" s="6" t="n">
        <x:v>250000</x:v>
      </x:c>
      <x:c r="H215" s="4" t="str">
        <x:v>High</x:v>
      </x:c>
      <x:c r="I215" s="4" t="str">
        <x:v>Fee based</x:v>
      </x:c>
      <x:c r="J215" s="6" t="n">
        <x:v>2458</x:v>
      </x:c>
      <x:c r="K215" s="5" t="str">
        <x:v>Portfolio of high-growth, undiscovered SmallCap cos.</x:v>
      </x:c>
      <x:c r="L215" s="5" t="str">
        <x:v>No sector tags assigned; see description</x:v>
      </x:c>
      <x:c r="M215" s="7" t="d">
        <x:v>2026-09-17T00:00:00.000Z</x:v>
      </x:c>
      <x:c r="N215" s="8" t="str">
        <x:v>https://www.smallcase.com/smallcase/omni-supertrons-supernormal-smallcap-sip-OMNMO_0022</x:v>
      </x:c>
      <x:c r="O215" s="4" t="str">
        <x:v>OMNMO_0022</x:v>
      </x:c>
      <x:c r="P215" s="5" t="str">
        <x:v>Diversified; sector mandate not specified</x:v>
      </x:c>
    </x:row>
    <x:row r="216" ht="60" customHeight="1">
      <x:c r="A216" s="4" t="n">
        <x:v>211</x:v>
      </x:c>
      <x:c r="B216" s="5" t="str">
        <x:v>Endurance Paired-Strategy Portfolio Quant</x:v>
      </x:c>
      <x:c r="C216" s="5" t="str">
        <x:v>SmartWealth.ai</x:v>
      </x:c>
      <x:c r="D216" s="5" t="str">
        <x:v>Diversified / strategy</x:v>
      </x:c>
      <x:c r="E216" s="5" t="str">
        <x:v>No specific industry mandate identified</x:v>
      </x:c>
      <x:c r="F216" s="5" t="str">
        <x:v>Momentum / trend</x:v>
      </x:c>
      <x:c r="G216" s="6" t="n">
        <x:v>75000</x:v>
      </x:c>
      <x:c r="H216" s="4" t="str">
        <x:v>High</x:v>
      </x:c>
      <x:c r="I216" s="4" t="str">
        <x:v>Fee based</x:v>
      </x:c>
      <x:c r="J216" s="6" t="n">
        <x:v>2654</x:v>
      </x:c>
      <x:c r="K216" s="5" t="str">
        <x:v>Advanced Momentum Stocks &amp; Assets Portfolio – Invest Up to ₹50 Lacs</x:v>
      </x:c>
      <x:c r="L216" s="5" t="str">
        <x:v>No sector tags assigned; see description</x:v>
      </x:c>
      <x:c r="M216" s="7" t="d">
        <x:v>2026-10-22T00:00:00.000Z</x:v>
      </x:c>
      <x:c r="N216" s="8" t="str">
        <x:v>https://www.smallcase.com/smallcase/endurance-paired-strategies-portfolio-SMWAMO_0020</x:v>
      </x:c>
      <x:c r="O216" s="4" t="str">
        <x:v>SMWAMO_0020</x:v>
      </x:c>
      <x:c r="P216" s="5" t="str">
        <x:v>Diversified; sector mandate not specified</x:v>
      </x:c>
    </x:row>
    <x:row r="217" ht="60" customHeight="1">
      <x:c r="A217" s="4" t="n">
        <x:v>212</x:v>
      </x:c>
      <x:c r="B217" s="5" t="str">
        <x:v>Multi Factor Fortress Model</x:v>
      </x:c>
      <x:c r="C217" s="5" t="str">
        <x:v>Quantace Research</x:v>
      </x:c>
      <x:c r="D217" s="5" t="str">
        <x:v>Diversified / strategy</x:v>
      </x:c>
      <x:c r="E217" s="5" t="str">
        <x:v>No specific industry mandate identified</x:v>
      </x:c>
      <x:c r="F217" s="5" t="str">
        <x:v>Quant / factor</x:v>
      </x:c>
      <x:c r="G217" s="6" t="n">
        <x:v>54315</x:v>
      </x:c>
      <x:c r="H217" s="4" t="str">
        <x:v>High</x:v>
      </x:c>
      <x:c r="I217" s="4" t="str">
        <x:v>Fee based</x:v>
      </x:c>
      <x:c r="J217" s="6" t="n">
        <x:v>700</x:v>
      </x:c>
      <x:c r="K217" s="5" t="str">
        <x:v>Harnessing the Power of Multiple Factor Strategies</x:v>
      </x:c>
      <x:c r="L217" s="5" t="str">
        <x:v>No sector tags assigned; see description</x:v>
      </x:c>
      <x:c r="M217" s="7" t="d">
        <x:v>2026-10-26T00:00:00.000Z</x:v>
      </x:c>
      <x:c r="N217" s="8" t="str">
        <x:v>https://www.smallcase.com/smallcase/multi-factor-ace-star-QUREMO_0025</x:v>
      </x:c>
      <x:c r="O217" s="4" t="str">
        <x:v>QUREMO_0025</x:v>
      </x:c>
      <x:c r="P217" s="5" t="str">
        <x:v>Diversified; sector mandate not specified</x:v>
      </x:c>
    </x:row>
    <x:row r="218" ht="60" customHeight="1">
      <x:c r="A218" s="4" t="n">
        <x:v>213</x:v>
      </x:c>
      <x:c r="B218" s="5" t="str">
        <x:v>Top 200 Momentum Factor Model</x:v>
      </x:c>
      <x:c r="C218" s="5" t="str">
        <x:v>Quantace Research</x:v>
      </x:c>
      <x:c r="D218" s="5" t="str">
        <x:v>Diversified / strategy</x:v>
      </x:c>
      <x:c r="E218" s="5" t="str">
        <x:v>No specific industry mandate identified</x:v>
      </x:c>
      <x:c r="F218" s="5" t="str">
        <x:v>Momentum / trend</x:v>
      </x:c>
      <x:c r="G218" s="6" t="n">
        <x:v>46765</x:v>
      </x:c>
      <x:c r="H218" s="4" t="str">
        <x:v>High</x:v>
      </x:c>
      <x:c r="I218" s="4" t="str">
        <x:v>Fee based</x:v>
      </x:c>
      <x:c r="J218" s="6" t="n">
        <x:v>675</x:v>
      </x:c>
      <x:c r="K218" s="5" t="str">
        <x:v>Riding the Market's Best Performers</x:v>
      </x:c>
      <x:c r="L218" s="5" t="str">
        <x:v>No sector tags assigned; see description</x:v>
      </x:c>
      <x:c r="M218" s="7" t="d">
        <x:v>2026-10-26T00:00:00.000Z</x:v>
      </x:c>
      <x:c r="N218" s="8" t="str">
        <x:v>https://www.smallcase.com/smallcase/ace-momentum-factor-QUREMO_0028</x:v>
      </x:c>
      <x:c r="O218" s="4" t="str">
        <x:v>QUREMO_0028</x:v>
      </x:c>
      <x:c r="P218" s="5" t="str">
        <x:v>Diversified; sector mandate not specified</x:v>
      </x:c>
    </x:row>
    <x:row r="219" ht="60" customHeight="1">
      <x:c r="A219" s="4" t="n">
        <x:v>214</x:v>
      </x:c>
      <x:c r="B219" s="5" t="str">
        <x:v>Top Ideas Basket Fundamental</x:v>
      </x:c>
      <x:c r="C219" s="5" t="str">
        <x:v>Yellowstone Equity</x:v>
      </x:c>
      <x:c r="D219" s="5" t="str">
        <x:v>Diversified / strategy</x:v>
      </x:c>
      <x:c r="E219" s="5" t="str">
        <x:v>No specific industry mandate identified</x:v>
      </x:c>
      <x:c r="F219" s="5" t="str">
        <x:v>Fundamental / growth / quality</x:v>
      </x:c>
      <x:c r="G219" s="6" t="n">
        <x:v>20288</x:v>
      </x:c>
      <x:c r="H219" s="4" t="str">
        <x:v>High</x:v>
      </x:c>
      <x:c r="I219" s="4" t="str">
        <x:v>Fee based</x:v>
      </x:c>
      <x:c r="J219" s="6" t="n">
        <x:v>1376</x:v>
      </x:c>
      <x:c r="K219" s="5" t="str">
        <x:v>High conviction ideas across market-cap/sectors to help create wealth through alpha and compounding</x:v>
      </x:c>
      <x:c r="L219" s="5" t="str">
        <x:v>No sector tags assigned; see description</x:v>
      </x:c>
      <x:c r="M219" s="7" t="d">
        <x:v>2026-03-16T00:00:00.000Z</x:v>
      </x:c>
      <x:c r="N219" s="8" t="str">
        <x:v>https://www.smallcase.com/smallcase/best-ideas-portfolio-YSEMO_0001</x:v>
      </x:c>
      <x:c r="O219" s="4" t="str">
        <x:v>YSEMO_0001</x:v>
      </x:c>
      <x:c r="P219" s="5" t="str">
        <x:v>Diversified; sector mandate not specified</x:v>
      </x:c>
    </x:row>
    <x:row r="220" ht="60" customHeight="1">
      <x:c r="A220" s="4" t="n">
        <x:v>215</x:v>
      </x:c>
      <x:c r="B220" s="5" t="str">
        <x:v>Finance Stars - Non Banks Tracker</x:v>
      </x:c>
      <x:c r="C220" s="5" t="str">
        <x:v>Quantace Research</x:v>
      </x:c>
      <x:c r="D220" s="5" t="str">
        <x:v>Sector / industry theme</x:v>
      </x:c>
      <x:c r="E220" s="5" t="str">
        <x:v>Financial services &amp; fintech</x:v>
      </x:c>
      <x:c r="F220" s="5" t="str">
        <x:v>Fundamental / growth / quality</x:v>
      </x:c>
      <x:c r="G220" s="6" t="n">
        <x:v>42640</x:v>
      </x:c>
      <x:c r="H220" s="4" t="str">
        <x:v>High</x:v>
      </x:c>
      <x:c r="I220" s="4" t="str">
        <x:v>Fee based</x:v>
      </x:c>
      <x:c r="J220" s="6" t="n">
        <x:v>675</x:v>
      </x:c>
      <x:c r="K220" s="5" t="str">
        <x:v>Targeting Growth in Financial Services, excluding the Banks</x:v>
      </x:c>
      <x:c r="L220" s="5" t="str">
        <x:v>Title and listing description</x:v>
      </x:c>
      <x:c r="M220" s="7" t="d">
        <x:v>2026-10-26T00:00:00.000Z</x:v>
      </x:c>
      <x:c r="N220" s="8" t="str">
        <x:v>https://www.smallcase.com/smallcase/finance-ace-stars-QURETR_0007</x:v>
      </x:c>
      <x:c r="O220" s="4" t="str">
        <x:v>QURETR_0007</x:v>
      </x:c>
      <x:c r="P220" s="5" t="str"/>
    </x:row>
    <x:row r="221" ht="60" customHeight="1">
      <x:c r="A221" s="4" t="n">
        <x:v>216</x:v>
      </x:c>
      <x:c r="B221" s="5" t="str">
        <x:v>FidelFolio Everest Equity Quant</x:v>
      </x:c>
      <x:c r="C221" s="5" t="str">
        <x:v>FidelFolio Investment</x:v>
      </x:c>
      <x:c r="D221" s="5" t="str">
        <x:v>Diversified / strategy</x:v>
      </x:c>
      <x:c r="E221" s="5" t="str">
        <x:v>No specific industry mandate identified</x:v>
      </x:c>
      <x:c r="F221" s="5" t="str">
        <x:v>Quant / factor</x:v>
      </x:c>
      <x:c r="G221" s="6" t="n">
        <x:v>298449</x:v>
      </x:c>
      <x:c r="H221" s="4" t="str">
        <x:v>High</x:v>
      </x:c>
      <x:c r="I221" s="4" t="str">
        <x:v>Not shown</x:v>
      </x:c>
      <x:c r="J221" s="6"/>
      <x:c r="K221" s="5" t="str">
        <x:v>Above Avg. Risk | Small-Cap Focus | At least doubled Profit &amp; CFO in 5-years | Above avg. ROCE</x:v>
      </x:c>
      <x:c r="L221" s="5" t="str">
        <x:v>No sector tags assigned; see description</x:v>
      </x:c>
      <x:c r="M221" s="7" t="d">
        <x:v>2025-06-05T00:00:00.000Z</x:v>
      </x:c>
      <x:c r="N221" s="8" t="str">
        <x:v>https://www.smallcase.com/smallcase/c3-KIUPMO_0010</x:v>
      </x:c>
      <x:c r="O221" s="4" t="str">
        <x:v>KIUPMO_0010</x:v>
      </x:c>
      <x:c r="P221" s="5" t="str">
        <x:v>Diversified; sector mandate not specified</x:v>
      </x:c>
    </x:row>
    <x:row r="222" ht="60" customHeight="1">
      <x:c r="A222" s="4" t="n">
        <x:v>217</x:v>
      </x:c>
      <x:c r="B222" s="5" t="str">
        <x:v>FidelFolio Kangchenjunga Equity Quant</x:v>
      </x:c>
      <x:c r="C222" s="5" t="str">
        <x:v>FidelFolio Investment</x:v>
      </x:c>
      <x:c r="D222" s="5" t="str">
        <x:v>Diversified / strategy</x:v>
      </x:c>
      <x:c r="E222" s="5" t="str">
        <x:v>No specific industry mandate identified</x:v>
      </x:c>
      <x:c r="F222" s="5" t="str">
        <x:v>Quant / factor</x:v>
      </x:c>
      <x:c r="G222" s="6" t="n">
        <x:v>107867</x:v>
      </x:c>
      <x:c r="H222" s="4" t="str">
        <x:v>High</x:v>
      </x:c>
      <x:c r="I222" s="4" t="str">
        <x:v>Not shown</x:v>
      </x:c>
      <x:c r="J222" s="6"/>
      <x:c r="K222" s="5" t="str">
        <x:v>Above Avg. Risk | Small-Cap Focus | Shown Rapid Balance Sheet Growth in 5-years | Improving ROC(&amp;E)</x:v>
      </x:c>
      <x:c r="L222" s="5" t="str">
        <x:v>No sector tags assigned; see description</x:v>
      </x:c>
      <x:c r="M222" s="7" t="d">
        <x:v>2025-06-05T00:00:00.000Z</x:v>
      </x:c>
      <x:c r="N222" s="8" t="str">
        <x:v>https://www.smallcase.com/smallcase/c4-KIUPMO_0011</x:v>
      </x:c>
      <x:c r="O222" s="4" t="str">
        <x:v>KIUPMO_0011</x:v>
      </x:c>
      <x:c r="P222" s="5" t="str">
        <x:v>Diversified; sector mandate not specified</x:v>
      </x:c>
    </x:row>
    <x:row r="223" ht="60" customHeight="1">
      <x:c r="A223" s="4" t="n">
        <x:v>218</x:v>
      </x:c>
      <x:c r="B223" s="5" t="str">
        <x:v>21G Dark Horse Quant</x:v>
      </x:c>
      <x:c r="C223" s="5" t="str">
        <x:v>21G Investments </x:v>
      </x:c>
      <x:c r="D223" s="5" t="str">
        <x:v>Diversified / strategy</x:v>
      </x:c>
      <x:c r="E223" s="5" t="str">
        <x:v>No specific industry mandate identified</x:v>
      </x:c>
      <x:c r="F223" s="5" t="str">
        <x:v>Quant / factor</x:v>
      </x:c>
      <x:c r="G223" s="6" t="n">
        <x:v>67196</x:v>
      </x:c>
      <x:c r="H223" s="4" t="str">
        <x:v>High</x:v>
      </x:c>
      <x:c r="I223" s="4" t="str">
        <x:v>Fee based</x:v>
      </x:c>
      <x:c r="J223" s="6" t="n">
        <x:v>833</x:v>
      </x:c>
      <x:c r="K223" s="5" t="str">
        <x:v>Early leaders with big potential, risk under control.</x:v>
      </x:c>
      <x:c r="L223" s="5" t="str">
        <x:v>No sector tags assigned; see description</x:v>
      </x:c>
      <x:c r="M223" s="7" t="d">
        <x:v>2026-10-07T00:00:00.000Z</x:v>
      </x:c>
      <x:c r="N223" s="8" t="str">
        <x:v>https://www.smallcase.com/smallcase/21g-dark-horse-TGIMO_0004</x:v>
      </x:c>
      <x:c r="O223" s="4" t="str">
        <x:v>TGIMO_0004</x:v>
      </x:c>
      <x:c r="P223" s="5" t="str">
        <x:v>Diversified; sector mandate not specified</x:v>
      </x:c>
    </x:row>
    <x:row r="224" ht="60" customHeight="1">
      <x:c r="A224" s="4" t="n">
        <x:v>219</x:v>
      </x:c>
      <x:c r="B224" s="5" t="str">
        <x:v>CWA Large Cap Leaders Quant</x:v>
      </x:c>
      <x:c r="C224" s="5" t="str">
        <x:v>Compounding Wealth Advisors</x:v>
      </x:c>
      <x:c r="D224" s="5" t="str">
        <x:v>Diversified / strategy</x:v>
      </x:c>
      <x:c r="E224" s="5" t="str">
        <x:v>No specific industry mandate identified</x:v>
      </x:c>
      <x:c r="F224" s="5" t="str">
        <x:v>Quant / factor</x:v>
      </x:c>
      <x:c r="G224" s="6" t="n">
        <x:v>94668</x:v>
      </x:c>
      <x:c r="H224" s="4" t="str">
        <x:v>Medium</x:v>
      </x:c>
      <x:c r="I224" s="4" t="str">
        <x:v>Fee based</x:v>
      </x:c>
      <x:c r="J224" s="6" t="n">
        <x:v>983</x:v>
      </x:c>
      <x:c r="K224" s="5" t="str">
        <x:v>Systematic Investing in trending and outperforming stocks from the Nifty 100, Rcmd amt : 5-15 lacs</x:v>
      </x:c>
      <x:c r="L224" s="5" t="str">
        <x:v>No sector tags assigned; see description</x:v>
      </x:c>
      <x:c r="M224" s="7" t="d">
        <x:v>2026-10-26T00:00:00.000Z</x:v>
      </x:c>
      <x:c r="N224" s="8" t="str">
        <x:v>https://www.smallcase.com/smallcase/cwa-large-cap-leaders-COWAMO_0003</x:v>
      </x:c>
      <x:c r="O224" s="4" t="str">
        <x:v>COWAMO_0003</x:v>
      </x:c>
      <x:c r="P224" s="5" t="str">
        <x:v>Diversified; sector mandate not specified</x:v>
      </x:c>
    </x:row>
    <x:row r="225" ht="60" customHeight="1">
      <x:c r="A225" s="4" t="n">
        <x:v>220</x:v>
      </x:c>
      <x:c r="B225" s="5" t="str">
        <x:v>Marcellus MeritorQ- Fixed Fee plan Quant</x:v>
      </x:c>
      <x:c r="C225" s="5" t="str">
        <x:v>Marcellus</x:v>
      </x:c>
      <x:c r="D225" s="5" t="str">
        <x:v>Diversified / strategy</x:v>
      </x:c>
      <x:c r="E225" s="5" t="str">
        <x:v>No specific industry mandate identified</x:v>
      </x:c>
      <x:c r="F225" s="5" t="str">
        <x:v>Value / contrarian</x:v>
      </x:c>
      <x:c r="G225" s="6" t="n">
        <x:v>329276</x:v>
      </x:c>
      <x:c r="H225" s="4" t="str">
        <x:v>Medium</x:v>
      </x:c>
      <x:c r="I225" s="4" t="str">
        <x:v>Fee based</x:v>
      </x:c>
      <x:c r="J225" s="6" t="n">
        <x:v>983</x:v>
      </x:c>
      <x:c r="K225" s="5" t="str">
        <x:v>A Rules-Based Strategy which seeks to identify Quality companies that are relatively Undervalued.</x:v>
      </x:c>
      <x:c r="L225" s="5" t="str">
        <x:v>No sector tags assigned; see description</x:v>
      </x:c>
      <x:c r="M225" s="7" t="d">
        <x:v>2026-09-22T00:00:00.000Z</x:v>
      </x:c>
      <x:c r="N225" s="8" t="str">
        <x:v>https://www.smallcase.com/smallcase/marcellus-meritorq-MCELMO_0003</x:v>
      </x:c>
      <x:c r="O225" s="4" t="str">
        <x:v>MCELMO_0003</x:v>
      </x:c>
      <x:c r="P225" s="5" t="str">
        <x:v>Diversified; sector mandate not specified</x:v>
      </x:c>
    </x:row>
    <x:row r="226" ht="60" customHeight="1">
      <x:c r="A226" s="4" t="n">
        <x:v>221</x:v>
      </x:c>
      <x:c r="B226" s="5" t="str">
        <x:v>PSU Bank Stars Tracker</x:v>
      </x:c>
      <x:c r="C226" s="5" t="str">
        <x:v>Quantace Research</x:v>
      </x:c>
      <x:c r="D226" s="5" t="str">
        <x:v>Sector / industry theme</x:v>
      </x:c>
      <x:c r="E226" s="5" t="str">
        <x:v>Banks &amp; NBFCs</x:v>
      </x:c>
      <x:c r="F226" s="5" t="str">
        <x:v>Fundamental / growth / quality</x:v>
      </x:c>
      <x:c r="G226" s="6" t="n">
        <x:v>4213</x:v>
      </x:c>
      <x:c r="H226" s="4" t="str">
        <x:v>High</x:v>
      </x:c>
      <x:c r="I226" s="4" t="str">
        <x:v>Fee based</x:v>
      </x:c>
      <x:c r="J226" s="6" t="n">
        <x:v>675</x:v>
      </x:c>
      <x:c r="K226" s="5" t="str">
        <x:v>Powering India’s Public Sector Banking Growth</x:v>
      </x:c>
      <x:c r="L226" s="5" t="str">
        <x:v>Title and listing description</x:v>
      </x:c>
      <x:c r="M226" s="7" t="d">
        <x:v>2026-10-26T00:00:00.000Z</x:v>
      </x:c>
      <x:c r="N226" s="8" t="str">
        <x:v>https://www.smallcase.com/smallcase/quantace-psu-bank-stars-QURETR_0012</x:v>
      </x:c>
      <x:c r="O226" s="4" t="str">
        <x:v>QURETR_0012</x:v>
      </x:c>
      <x:c r="P226" s="5" t="str"/>
    </x:row>
    <x:row r="227" ht="60" customHeight="1">
      <x:c r="A227" s="4" t="n">
        <x:v>222</x:v>
      </x:c>
      <x:c r="B227" s="5" t="str">
        <x:v>Gravity Hybrid Asset Allocation</x:v>
      </x:c>
      <x:c r="C227" s="5" t="str">
        <x:v>LaMoksh</x:v>
      </x:c>
      <x:c r="D227" s="5" t="str">
        <x:v>Asset allocation / target date</x:v>
      </x:c>
      <x:c r="E227" s="5" t="str">
        <x:v>No specific industry mandate identified</x:v>
      </x:c>
      <x:c r="F227" s="5" t="str">
        <x:v>Asset allocation</x:v>
      </x:c>
      <x:c r="G227" s="6" t="n">
        <x:v>3638</x:v>
      </x:c>
      <x:c r="H227" s="4" t="str">
        <x:v>Medium</x:v>
      </x:c>
      <x:c r="I227" s="4" t="str">
        <x:v>Fee based</x:v>
      </x:c>
      <x:c r="J227" s="6" t="n">
        <x:v>583</x:v>
      </x:c>
      <x:c r="K227" s="5" t="str">
        <x:v>Gravity portfolio is a hybrid, multi- dimensional collection of ETF’s and stocks.</x:v>
      </x:c>
      <x:c r="L227" s="5" t="str">
        <x:v>No sector tags assigned; see description</x:v>
      </x:c>
      <x:c r="M227" s="7" t="d">
        <x:v>2026-10-01T00:00:00.000Z</x:v>
      </x:c>
      <x:c r="N227" s="8" t="str">
        <x:v>https://www.smallcase.com/smallcase/gravity-hybrid-LAMNM_0001</x:v>
      </x:c>
      <x:c r="O227" s="4" t="str">
        <x:v>LAMNM_0001</x:v>
      </x:c>
      <x:c r="P227" s="5" t="str">
        <x:v>Asset allocation / target date</x:v>
      </x:c>
    </x:row>
    <x:row r="228" ht="60" customHeight="1">
      <x:c r="A228" s="4" t="n">
        <x:v>223</x:v>
      </x:c>
      <x:c r="B228" s="5" t="str">
        <x:v>smartvalues - defense Theme</x:v>
      </x:c>
      <x:c r="C228" s="5" t="str">
        <x:v>Lamron Analysts</x:v>
      </x:c>
      <x:c r="D228" s="5" t="str">
        <x:v>Sector / industry theme</x:v>
      </x:c>
      <x:c r="E228" s="5" t="str">
        <x:v>Defence &amp; aerospace</x:v>
      </x:c>
      <x:c r="F228" s="5" t="str">
        <x:v>Value / contrarian</x:v>
      </x:c>
      <x:c r="G228" s="6" t="n">
        <x:v>96521</x:v>
      </x:c>
      <x:c r="H228" s="4" t="str">
        <x:v>High</x:v>
      </x:c>
      <x:c r="I228" s="4" t="str">
        <x:v>Fee based</x:v>
      </x:c>
      <x:c r="J228" s="6" t="n">
        <x:v>875</x:v>
      </x:c>
      <x:c r="K228" s="5" t="str">
        <x:v>Five defence leaders powering India’s growth, innovation, resilience, strength, and strategic future</x:v>
      </x:c>
      <x:c r="L228" s="5" t="str">
        <x:v>Title and listing description</x:v>
      </x:c>
      <x:c r="M228" s="7" t="d">
        <x:v>2026-08-25T00:00:00.000Z</x:v>
      </x:c>
      <x:c r="N228" s="8" t="str">
        <x:v>https://www.smallcase.com/smallcase/smartvalues-defense-LMRMO_0014</x:v>
      </x:c>
      <x:c r="O228" s="4" t="str">
        <x:v>LMRMO_0014</x:v>
      </x:c>
      <x:c r="P228" s="5" t="str"/>
    </x:row>
    <x:row r="229" ht="60" customHeight="1">
      <x:c r="A229" s="4" t="n">
        <x:v>224</x:v>
      </x:c>
      <x:c r="B229" s="5" t="str">
        <x:v>Metal Revival Theme</x:v>
      </x:c>
      <x:c r="C229" s="5" t="str">
        <x:v>Ethical Advisers</x:v>
      </x:c>
      <x:c r="D229" s="5" t="str">
        <x:v>Sector / industry theme</x:v>
      </x:c>
      <x:c r="E229" s="5" t="str">
        <x:v>Metals, mining &amp; minerals</x:v>
      </x:c>
      <x:c r="F229" s="5" t="str">
        <x:v>Other / not specified</x:v>
      </x:c>
      <x:c r="G229" s="6" t="n">
        <x:v>79165</x:v>
      </x:c>
      <x:c r="H229" s="4" t="str">
        <x:v>High</x:v>
      </x:c>
      <x:c r="I229" s="4" t="str">
        <x:v>Fee based</x:v>
      </x:c>
      <x:c r="J229" s="6" t="n">
        <x:v>708</x:v>
      </x:c>
      <x:c r="K229" s="5" t="str">
        <x:v>As global demand returns, the metal sector is likely to outperform broad indices.</x:v>
      </x:c>
      <x:c r="L229" s="5" t="str">
        <x:v>Title and listing description</x:v>
      </x:c>
      <x:c r="M229" s="7" t="d">
        <x:v>2026-08-24T00:00:00.000Z</x:v>
      </x:c>
      <x:c r="N229" s="8" t="str">
        <x:v>https://www.smallcase.com/smallcase/metal-revival-EHATR_0001</x:v>
      </x:c>
      <x:c r="O229" s="4" t="str">
        <x:v>EHATR_0001</x:v>
      </x:c>
      <x:c r="P229" s="5" t="str"/>
    </x:row>
    <x:row r="230" ht="60" customHeight="1">
      <x:c r="A230" s="4" t="n">
        <x:v>225</x:v>
      </x:c>
      <x:c r="B230" s="5" t="str">
        <x:v>GI Top 10 Bluechip Momentum Model</x:v>
      </x:c>
      <x:c r="C230" s="5" t="str">
        <x:v>Growth Investing</x:v>
      </x:c>
      <x:c r="D230" s="5" t="str">
        <x:v>Diversified / strategy</x:v>
      </x:c>
      <x:c r="E230" s="5" t="str">
        <x:v>No specific industry mandate identified</x:v>
      </x:c>
      <x:c r="F230" s="5" t="str">
        <x:v>Momentum / trend</x:v>
      </x:c>
      <x:c r="G230" s="6" t="n">
        <x:v>111109</x:v>
      </x:c>
      <x:c r="H230" s="4" t="str">
        <x:v>Medium</x:v>
      </x:c>
      <x:c r="I230" s="4" t="str">
        <x:v>Fee based</x:v>
      </x:c>
      <x:c r="J230" s="6" t="n">
        <x:v>570</x:v>
      </x:c>
      <x:c r="K230" s="5" t="str">
        <x:v>GI Nifty Top 10 Blue chips Portfolio from Nifty 50, based on Growth Accelerating Momentum.</x:v>
      </x:c>
      <x:c r="L230" s="5" t="str">
        <x:v>No sector tags assigned; see description</x:v>
      </x:c>
      <x:c r="M230" s="7" t="d">
        <x:v>2026-10-23T00:00:00.000Z</x:v>
      </x:c>
      <x:c r="N230" s="8" t="str">
        <x:v>https://www.smallcase.com/smallcase/gi-bluechip-stocks-GRINMO_0002</x:v>
      </x:c>
      <x:c r="O230" s="4" t="str">
        <x:v>GRINMO_0002</x:v>
      </x:c>
      <x:c r="P230" s="5" t="str">
        <x:v>Diversified; sector mandate not specified</x:v>
      </x:c>
    </x:row>
    <x:row r="231" ht="60" customHeight="1">
      <x:c r="A231" s="4" t="n">
        <x:v>226</x:v>
      </x:c>
      <x:c r="B231" s="5" t="str">
        <x:v>Intrinsic Value Ranking filters Fundamental</x:v>
      </x:c>
      <x:c r="C231" s="5" t="str">
        <x:v>Intrinsic Value</x:v>
      </x:c>
      <x:c r="D231" s="5" t="str">
        <x:v>Diversified / strategy</x:v>
      </x:c>
      <x:c r="E231" s="5" t="str">
        <x:v>No specific industry mandate identified</x:v>
      </x:c>
      <x:c r="F231" s="5" t="str">
        <x:v>Value / contrarian</x:v>
      </x:c>
      <x:c r="G231" s="6" t="n">
        <x:v>26395</x:v>
      </x:c>
      <x:c r="H231" s="4" t="str">
        <x:v>High</x:v>
      </x:c>
      <x:c r="I231" s="4" t="str">
        <x:v>Fee based</x:v>
      </x:c>
      <x:c r="J231" s="6" t="n">
        <x:v>580</x:v>
      </x:c>
      <x:c r="K231" s="5" t="str">
        <x:v>Based on 3-dimensional Intrinsic value Ranking system || captial&gt; 4 lacs</x:v>
      </x:c>
      <x:c r="L231" s="5" t="str">
        <x:v>No sector tags assigned; see description</x:v>
      </x:c>
      <x:c r="M231" s="7" t="d">
        <x:v>2026-10-26T00:00:00.000Z</x:v>
      </x:c>
      <x:c r="N231" s="8" t="str">
        <x:v>https://www.smallcase.com/smallcase/value-and-performance-INTRMO_0003</x:v>
      </x:c>
      <x:c r="O231" s="4" t="str">
        <x:v>INTRMO_0003</x:v>
      </x:c>
      <x:c r="P231" s="5" t="str">
        <x:v>Diversified; sector mandate not specified</x:v>
      </x:c>
    </x:row>
    <x:row r="232" ht="60" customHeight="1">
      <x:c r="A232" s="4" t="n">
        <x:v>227</x:v>
      </x:c>
      <x:c r="B232" s="5" t="str">
        <x:v>CAGRwealth Flexicap Model Fundamental</x:v>
      </x:c>
      <x:c r="C232" s="5" t="str">
        <x:v>CAGRwealth</x:v>
      </x:c>
      <x:c r="D232" s="5" t="str">
        <x:v>Diversified / strategy</x:v>
      </x:c>
      <x:c r="E232" s="5" t="str">
        <x:v>No specific industry mandate identified</x:v>
      </x:c>
      <x:c r="F232" s="5" t="str">
        <x:v>Fundamental / growth / quality</x:v>
      </x:c>
      <x:c r="G232" s="6" t="n">
        <x:v>267348</x:v>
      </x:c>
      <x:c r="H232" s="4" t="str">
        <x:v>Medium</x:v>
      </x:c>
      <x:c r="I232" s="4" t="str">
        <x:v>Fee based</x:v>
      </x:c>
      <x:c r="J232" s="6" t="n">
        <x:v>666</x:v>
      </x:c>
      <x:c r="K232" s="5" t="str">
        <x:v>Flexicap portfolio for long term investment based on fundamental research. Recommended size &gt;3 lakhs</x:v>
      </x:c>
      <x:c r="L232" s="5" t="str">
        <x:v>No sector tags assigned; see description</x:v>
      </x:c>
      <x:c r="M232" s="7" t="d">
        <x:v>2026-10-06T00:00:00.000Z</x:v>
      </x:c>
      <x:c r="N232" s="8" t="str">
        <x:v>https://www.smallcase.com/smallcase/cff-cagrwealth-fundamental-flexicap-CWEHMO_0002</x:v>
      </x:c>
      <x:c r="O232" s="4" t="str">
        <x:v>CWEHMO_0002</x:v>
      </x:c>
      <x:c r="P232" s="5" t="str">
        <x:v>Diversified; sector mandate not specified</x:v>
      </x:c>
    </x:row>
    <x:row r="233" ht="60" customHeight="1">
      <x:c r="A233" s="4" t="n">
        <x:v>228</x:v>
      </x:c>
      <x:c r="B233" s="5" t="str">
        <x:v>House of Mahindra Tracker</x:v>
      </x:c>
      <x:c r="C233" s="5" t="str">
        <x:v>Windmill Capital</x:v>
      </x:c>
      <x:c r="D233" s="5" t="str">
        <x:v>Business group / PSU ownership</x:v>
      </x:c>
      <x:c r="E233" s="5" t="str">
        <x:v>No specific industry mandate identified</x:v>
      </x:c>
      <x:c r="F233" s="5" t="str">
        <x:v>Other / not specified</x:v>
      </x:c>
      <x:c r="G233" s="6" t="n">
        <x:v>11430</x:v>
      </x:c>
      <x:c r="H233" s="4" t="str">
        <x:v>High</x:v>
      </x:c>
      <x:c r="I233" s="4" t="str">
        <x:v>Fee based</x:v>
      </x:c>
      <x:c r="J233" s="6" t="n">
        <x:v>120</x:v>
      </x:c>
      <x:c r="K233" s="5" t="str">
        <x:v>Companies part of Mahindra Group, a diversified, global conglomerate</x:v>
      </x:c>
      <x:c r="L233" s="5" t="str">
        <x:v>No sector tags assigned; see description</x:v>
      </x:c>
      <x:c r="M233" s="7" t="d">
        <x:v>2026-09-17T00:00:00.000Z</x:v>
      </x:c>
      <x:c r="N233" s="8" t="str">
        <x:v>https://www.smallcase.com/smallcase/house-of-mahindra-SCTR_0016</x:v>
      </x:c>
      <x:c r="O233" s="4" t="str">
        <x:v>SCTR_0016</x:v>
      </x:c>
      <x:c r="P233" s="5" t="str">
        <x:v>Business group / PSU ownership</x:v>
      </x:c>
    </x:row>
    <x:row r="234" ht="60" customHeight="1">
      <x:c r="A234" s="4" t="n">
        <x:v>229</x:v>
      </x:c>
      <x:c r="B234" s="5" t="str">
        <x:v>Young India - Multicap Theme</x:v>
      </x:c>
      <x:c r="C234" s="5" t="str">
        <x:v>Tikona Capital</x:v>
      </x:c>
      <x:c r="D234" s="5" t="str">
        <x:v>Diversified / strategy</x:v>
      </x:c>
      <x:c r="E234" s="5" t="str">
        <x:v>No specific industry mandate identified</x:v>
      </x:c>
      <x:c r="F234" s="5" t="str">
        <x:v>Other / not specified</x:v>
      </x:c>
      <x:c r="G234" s="6" t="n">
        <x:v>100528</x:v>
      </x:c>
      <x:c r="H234" s="4" t="str">
        <x:v>High</x:v>
      </x:c>
      <x:c r="I234" s="4" t="str">
        <x:v>Fee based</x:v>
      </x:c>
      <x:c r="J234" s="6" t="n">
        <x:v>1250</x:v>
      </x:c>
      <x:c r="K234" s="5" t="str">
        <x:v>Select 15-25 Young Companies that have a significant opportunity to grow over their life cycle.</x:v>
      </x:c>
      <x:c r="L234" s="5" t="str">
        <x:v>No sector tags assigned; see description</x:v>
      </x:c>
      <x:c r="M234" s="7" t="d">
        <x:v>2026-10-19T00:00:00.000Z</x:v>
      </x:c>
      <x:c r="N234" s="8" t="str">
        <x:v>https://www.smallcase.com/smallcase/bachpan-ka-saathi-TIKONM_0001</x:v>
      </x:c>
      <x:c r="O234" s="4" t="str">
        <x:v>TIKONM_0001</x:v>
      </x:c>
      <x:c r="P234" s="5" t="str">
        <x:v>Diversified; sector mandate not specified</x:v>
      </x:c>
    </x:row>
    <x:row r="235" ht="60" customHeight="1">
      <x:c r="A235" s="4" t="n">
        <x:v>230</x:v>
      </x:c>
      <x:c r="B235" s="5" t="str">
        <x:v>All-Season Asset Allocation</x:v>
      </x:c>
      <x:c r="C235" s="5" t="str">
        <x:v>Paterson</x:v>
      </x:c>
      <x:c r="D235" s="5" t="str">
        <x:v>Asset allocation / target date</x:v>
      </x:c>
      <x:c r="E235" s="5" t="str">
        <x:v>No specific industry mandate identified</x:v>
      </x:c>
      <x:c r="F235" s="5" t="str">
        <x:v>Asset allocation</x:v>
      </x:c>
      <x:c r="G235" s="6" t="n">
        <x:v>50000</x:v>
      </x:c>
      <x:c r="H235" s="4" t="str">
        <x:v>Low</x:v>
      </x:c>
      <x:c r="I235" s="4" t="str">
        <x:v>Fee based</x:v>
      </x:c>
      <x:c r="J235" s="6" t="n">
        <x:v>625</x:v>
      </x:c>
      <x:c r="K235" s="5" t="str">
        <x:v>Diversified and low-cost ETFs designed to weather the market and grow your wealth.</x:v>
      </x:c>
      <x:c r="L235" s="5" t="str">
        <x:v>No sector tags assigned; see description</x:v>
      </x:c>
      <x:c r="M235" s="7" t="d">
        <x:v>2026-08-20T00:00:00.000Z</x:v>
      </x:c>
      <x:c r="N235" s="8" t="str">
        <x:v>https://www.smallcase.com/smallcase/all-season-theme-RUPEET_0004</x:v>
      </x:c>
      <x:c r="O235" s="4" t="str">
        <x:v>RUPEET_0004</x:v>
      </x:c>
      <x:c r="P235" s="5" t="str">
        <x:v>Asset allocation / target date</x:v>
      </x:c>
    </x:row>
    <x:row r="236" ht="60" customHeight="1">
      <x:c r="A236" s="4" t="n">
        <x:v>231</x:v>
      </x:c>
      <x:c r="B236" s="5" t="str">
        <x:v>GoalFi Alpha Blend &amp; Quality All Cap Model</x:v>
      </x:c>
      <x:c r="C236" s="5" t="str">
        <x:v>GoalFi</x:v>
      </x:c>
      <x:c r="D236" s="5" t="str">
        <x:v>Diversified / strategy</x:v>
      </x:c>
      <x:c r="E236" s="5" t="str">
        <x:v>No specific industry mandate identified</x:v>
      </x:c>
      <x:c r="F236" s="5" t="str">
        <x:v>Quant / factor</x:v>
      </x:c>
      <x:c r="G236" s="6" t="n">
        <x:v>50000</x:v>
      </x:c>
      <x:c r="H236" s="4" t="str">
        <x:v>High</x:v>
      </x:c>
      <x:c r="I236" s="4" t="str">
        <x:v>Fee based</x:v>
      </x:c>
      <x:c r="J236" s="6" t="n">
        <x:v>625</x:v>
      </x:c>
      <x:c r="K236" s="5" t="str">
        <x:v>A dual-factor strategy holding 10 stocks from the Nifty investible universe, reviewed quarterly.</x:v>
      </x:c>
      <x:c r="L236" s="5" t="str">
        <x:v>No sector tags assigned; see description</x:v>
      </x:c>
      <x:c r="M236" s="7" t="d">
        <x:v>2026-08-06T00:00:00.000Z</x:v>
      </x:c>
      <x:c r="N236" s="8" t="str">
        <x:v>https://www.smallcase.com/smallcase/alpha-blend-market-leaders-GOALMO_0100</x:v>
      </x:c>
      <x:c r="O236" s="4" t="str">
        <x:v>GOALMO_0100</x:v>
      </x:c>
      <x:c r="P236" s="5" t="str">
        <x:v>Diversified; sector mandate not specified</x:v>
      </x:c>
    </x:row>
    <x:row r="237" ht="60" customHeight="1">
      <x:c r="A237" s="4" t="n">
        <x:v>232</x:v>
      </x:c>
      <x:c r="B237" s="5" t="str">
        <x:v>GoalFi Momentum Trend Mid &amp; Small Cap Model</x:v>
      </x:c>
      <x:c r="C237" s="5" t="str">
        <x:v>GoalFi</x:v>
      </x:c>
      <x:c r="D237" s="5" t="str">
        <x:v>Diversified / strategy</x:v>
      </x:c>
      <x:c r="E237" s="5" t="str">
        <x:v>No specific industry mandate identified</x:v>
      </x:c>
      <x:c r="F237" s="5" t="str">
        <x:v>Momentum / trend</x:v>
      </x:c>
      <x:c r="G237" s="6" t="n">
        <x:v>100000</x:v>
      </x:c>
      <x:c r="H237" s="4" t="str">
        <x:v>High</x:v>
      </x:c>
      <x:c r="I237" s="4" t="str">
        <x:v>Fee based</x:v>
      </x:c>
      <x:c r="J237" s="6" t="n">
        <x:v>833</x:v>
      </x:c>
      <x:c r="K237" s="5" t="str">
        <x:v>A momentum strategy holding 12 to 15 stocks from the MidSmall 400 50:50, rebalanced monthly.</x:v>
      </x:c>
      <x:c r="L237" s="5" t="str">
        <x:v>No sector tags assigned; see description</x:v>
      </x:c>
      <x:c r="M237" s="7" t="d">
        <x:v>2026-09-30T00:00:00.000Z</x:v>
      </x:c>
      <x:c r="N237" s="8" t="str">
        <x:v>https://www.smallcase.com/smallcase/momentum-trend-masters-lite-GOALMO_0106</x:v>
      </x:c>
      <x:c r="O237" s="4" t="str">
        <x:v>GOALMO_0106</x:v>
      </x:c>
      <x:c r="P237" s="5" t="str">
        <x:v>Diversified; sector mandate not specified</x:v>
      </x:c>
    </x:row>
    <x:row r="238" ht="60" customHeight="1">
      <x:c r="A238" s="4" t="n">
        <x:v>233</x:v>
      </x:c>
      <x:c r="B238" s="5" t="str">
        <x:v>Lotusdew Golden Opportunity Asset Allocation</x:v>
      </x:c>
      <x:c r="C238" s="5" t="str">
        <x:v>Lotusdew Wealth</x:v>
      </x:c>
      <x:c r="D238" s="5" t="str">
        <x:v>Asset allocation / target date</x:v>
      </x:c>
      <x:c r="E238" s="5" t="str">
        <x:v>No specific industry mandate identified</x:v>
      </x:c>
      <x:c r="F238" s="5" t="str">
        <x:v>Precious metals</x:v>
      </x:c>
      <x:c r="G238" s="6" t="n">
        <x:v>43175</x:v>
      </x:c>
      <x:c r="H238" s="4" t="str">
        <x:v>High</x:v>
      </x:c>
      <x:c r="I238" s="4" t="str">
        <x:v>Fee based</x:v>
      </x:c>
      <x:c r="J238" s="6" t="n">
        <x:v>826</x:v>
      </x:c>
      <x:c r="K238" s="5" t="str">
        <x:v>An asset allocation basket of gold related equity hedged with physical gold exposure</x:v>
      </x:c>
      <x:c r="L238" s="5" t="str">
        <x:v>No sector tags assigned; see description</x:v>
      </x:c>
      <x:c r="M238" s="7" t="d">
        <x:v>2025-11-19T00:00:00.000Z</x:v>
      </x:c>
      <x:c r="N238" s="8" t="str">
        <x:v>https://www.smallcase.com/smallcase/golden-LTDTR_0001</x:v>
      </x:c>
      <x:c r="O238" s="4" t="str">
        <x:v>LTDTR_0001</x:v>
      </x:c>
      <x:c r="P238" s="5" t="str">
        <x:v>Asset allocation / target date</x:v>
      </x:c>
    </x:row>
    <x:row r="239" ht="60" customHeight="1">
      <x:c r="A239" s="4" t="n">
        <x:v>234</x:v>
      </x:c>
      <x:c r="B239" s="5" t="str">
        <x:v>BM Top 10 Fundamental</x:v>
      </x:c>
      <x:c r="C239" s="5" t="str">
        <x:v>Basant Maheshwari Investing</x:v>
      </x:c>
      <x:c r="D239" s="5" t="str">
        <x:v>Diversified / strategy</x:v>
      </x:c>
      <x:c r="E239" s="5" t="str">
        <x:v>No specific industry mandate identified</x:v>
      </x:c>
      <x:c r="F239" s="5" t="str">
        <x:v>Fundamental / growth / quality</x:v>
      </x:c>
      <x:c r="G239" s="6" t="n">
        <x:v>113327</x:v>
      </x:c>
      <x:c r="H239" s="4" t="str">
        <x:v>High</x:v>
      </x:c>
      <x:c r="I239" s="4" t="str">
        <x:v>Fee based</x:v>
      </x:c>
      <x:c r="J239" s="6" t="n">
        <x:v>3304</x:v>
      </x:c>
      <x:c r="K239" s="5" t="str">
        <x:v>India’s largest companies, growing faster than their peers. A sweet spot between stability &amp; returns</x:v>
      </x:c>
      <x:c r="L239" s="5" t="str">
        <x:v>No sector tags assigned; see description</x:v>
      </x:c>
      <x:c r="M239" s="7" t="d">
        <x:v>2026-09-16T00:00:00.000Z</x:v>
      </x:c>
      <x:c r="N239" s="8" t="str">
        <x:v>https://www.smallcase.com/smallcase/bm-top-10-BAMIMO_0005</x:v>
      </x:c>
      <x:c r="O239" s="4" t="str">
        <x:v>BAMIMO_0005</x:v>
      </x:c>
      <x:c r="P239" s="5" t="str">
        <x:v>Diversified; sector mandate not specified</x:v>
      </x:c>
    </x:row>
    <x:row r="240" ht="60" customHeight="1">
      <x:c r="A240" s="4" t="n">
        <x:v>235</x:v>
      </x:c>
      <x:c r="B240" s="5" t="str">
        <x:v>Midcap Quant</x:v>
      </x:c>
      <x:c r="C240" s="5" t="str">
        <x:v>Quantace Research</x:v>
      </x:c>
      <x:c r="D240" s="5" t="str">
        <x:v>Diversified / strategy</x:v>
      </x:c>
      <x:c r="E240" s="5" t="str">
        <x:v>No specific industry mandate identified</x:v>
      </x:c>
      <x:c r="F240" s="5" t="str">
        <x:v>Quant / factor</x:v>
      </x:c>
      <x:c r="G240" s="6" t="n">
        <x:v>147116</x:v>
      </x:c>
      <x:c r="H240" s="4" t="str">
        <x:v>High</x:v>
      </x:c>
      <x:c r="I240" s="4" t="str">
        <x:v>Fee based</x:v>
      </x:c>
      <x:c r="J240" s="6" t="n">
        <x:v>700</x:v>
      </x:c>
      <x:c r="K240" s="5" t="str">
        <x:v>Unlock the potential of Midcap stocks carefully selected from 101-250 Market Cap range.Rec 5-25 Lacs</x:v>
      </x:c>
      <x:c r="L240" s="5" t="str">
        <x:v>No sector tags assigned; see description</x:v>
      </x:c>
      <x:c r="M240" s="7" t="d">
        <x:v>2026-10-26T00:00:00.000Z</x:v>
      </x:c>
      <x:c r="N240" s="8" t="str">
        <x:v>https://www.smallcase.com/smallcase/nifty-midcap-100-citius-midcap-QUREMO_0010</x:v>
      </x:c>
      <x:c r="O240" s="4" t="str">
        <x:v>QUREMO_0010</x:v>
      </x:c>
      <x:c r="P240" s="5" t="str">
        <x:v>Diversified; sector mandate not specified</x:v>
      </x:c>
    </x:row>
    <x:row r="241" ht="60" customHeight="1">
      <x:c r="A241" s="4" t="n">
        <x:v>236</x:v>
      </x:c>
      <x:c r="B241" s="5" t="str">
        <x:v>Super Businesses Fundamental</x:v>
      </x:c>
      <x:c r="C241" s="5" t="str">
        <x:v>PowerTrade</x:v>
      </x:c>
      <x:c r="D241" s="5" t="str">
        <x:v>Diversified / strategy</x:v>
      </x:c>
      <x:c r="E241" s="5" t="str">
        <x:v>No specific industry mandate identified</x:v>
      </x:c>
      <x:c r="F241" s="5" t="str">
        <x:v>Fundamental / growth / quality</x:v>
      </x:c>
      <x:c r="G241" s="6" t="n">
        <x:v>6779</x:v>
      </x:c>
      <x:c r="H241" s="4" t="str">
        <x:v>High</x:v>
      </x:c>
      <x:c r="I241" s="4" t="str">
        <x:v>Fee based</x:v>
      </x:c>
      <x:c r="J241" s="6" t="n">
        <x:v>2499</x:v>
      </x:c>
      <x:c r="K241" s="5" t="str">
        <x:v>Inspired By Investment Philosophies Of Warren Buffett And Charlie Munger</x:v>
      </x:c>
      <x:c r="L241" s="5" t="str">
        <x:v>No sector tags assigned; see description</x:v>
      </x:c>
      <x:c r="M241" s="7" t="d">
        <x:v>2026-07-17T00:00:00.000Z</x:v>
      </x:c>
      <x:c r="N241" s="8" t="str">
        <x:v>https://www.smallcase.com/smallcase/super-multipliers-PTDMO_0005</x:v>
      </x:c>
      <x:c r="O241" s="4" t="str">
        <x:v>PTDMO_0005</x:v>
      </x:c>
      <x:c r="P241" s="5" t="str">
        <x:v>Diversified; sector mandate not specified</x:v>
      </x:c>
    </x:row>
    <x:row r="242" ht="60" customHeight="1">
      <x:c r="A242" s="4" t="n">
        <x:v>237</x:v>
      </x:c>
      <x:c r="B242" s="5" t="str">
        <x:v>ETF Powerpack  Seasoned Investors Asset Allocation</x:v>
      </x:c>
      <x:c r="C242" s="5" t="str">
        <x:v>Ethical Advisers</x:v>
      </x:c>
      <x:c r="D242" s="5" t="str">
        <x:v>Asset allocation / target date</x:v>
      </x:c>
      <x:c r="E242" s="5" t="str">
        <x:v>No specific industry mandate identified</x:v>
      </x:c>
      <x:c r="F242" s="5" t="str">
        <x:v>Asset allocation</x:v>
      </x:c>
      <x:c r="G242" s="6" t="n">
        <x:v>3104</x:v>
      </x:c>
      <x:c r="H242" s="4" t="str">
        <x:v>Medium</x:v>
      </x:c>
      <x:c r="I242" s="4" t="str">
        <x:v>Fee based</x:v>
      </x:c>
      <x:c r="J242" s="6" t="n">
        <x:v>12</x:v>
      </x:c>
      <x:c r="K242" s="5" t="str">
        <x:v>An ideal combination of listed equity ETFs, Gold and Debt for seasoned investors.</x:v>
      </x:c>
      <x:c r="L242" s="5" t="str">
        <x:v>No sector tags assigned; see description</x:v>
      </x:c>
      <x:c r="M242" s="7" t="d">
        <x:v>2026-08-24T00:00:00.000Z</x:v>
      </x:c>
      <x:c r="N242" s="8" t="str">
        <x:v>https://www.smallcase.com/smallcase/etf-powerpack_seasoned-investors-EHAET_0002</x:v>
      </x:c>
      <x:c r="O242" s="4" t="str">
        <x:v>EHAET_0002</x:v>
      </x:c>
      <x:c r="P242" s="5" t="str">
        <x:v>Asset allocation / target date</x:v>
      </x:c>
    </x:row>
    <x:row r="243" ht="60" customHeight="1">
      <x:c r="A243" s="4" t="n">
        <x:v>238</x:v>
      </x:c>
      <x:c r="B243" s="5" t="str">
        <x:v>CWA Infrastructure Theme</x:v>
      </x:c>
      <x:c r="C243" s="5" t="str">
        <x:v>Compounding Wealth Advisors</x:v>
      </x:c>
      <x:c r="D243" s="5" t="str">
        <x:v>Sector / industry theme</x:v>
      </x:c>
      <x:c r="E243" s="5" t="str">
        <x:v>Infrastructure &amp; construction</x:v>
      </x:c>
      <x:c r="F243" s="5" t="str">
        <x:v>Other / not specified</x:v>
      </x:c>
      <x:c r="G243" s="6" t="n">
        <x:v>84116</x:v>
      </x:c>
      <x:c r="H243" s="4" t="str">
        <x:v>High</x:v>
      </x:c>
      <x:c r="I243" s="4" t="str">
        <x:v>Fee based</x:v>
      </x:c>
      <x:c r="J243" s="6" t="n">
        <x:v>983</x:v>
      </x:c>
      <x:c r="K243" s="5" t="str">
        <x:v>Systematic Investing in strong and leading stocks from the Infrastructure space. Rcmd amt: 5-15 lacs</x:v>
      </x:c>
      <x:c r="L243" s="5" t="str">
        <x:v>Title and listing description</x:v>
      </x:c>
      <x:c r="M243" s="7" t="d">
        <x:v>2026-10-26T00:00:00.000Z</x:v>
      </x:c>
      <x:c r="N243" s="8" t="str">
        <x:v>https://www.smallcase.com/smallcase/cwa-infrastructure-COWANM_0002</x:v>
      </x:c>
      <x:c r="O243" s="4" t="str">
        <x:v>COWANM_0002</x:v>
      </x:c>
      <x:c r="P243" s="5" t="str"/>
    </x:row>
    <x:row r="244" ht="60" customHeight="1">
      <x:c r="A244" s="4" t="n">
        <x:v>239</x:v>
      </x:c>
      <x:c r="B244" s="5" t="str">
        <x:v>CWA Dual Momentum Quant</x:v>
      </x:c>
      <x:c r="C244" s="5" t="str">
        <x:v>Compounding Wealth Advisors</x:v>
      </x:c>
      <x:c r="D244" s="5" t="str">
        <x:v>Diversified / strategy</x:v>
      </x:c>
      <x:c r="E244" s="5" t="str">
        <x:v>No specific industry mandate identified</x:v>
      </x:c>
      <x:c r="F244" s="5" t="str">
        <x:v>Momentum / trend</x:v>
      </x:c>
      <x:c r="G244" s="6" t="n">
        <x:v>179549</x:v>
      </x:c>
      <x:c r="H244" s="4" t="str">
        <x:v>High</x:v>
      </x:c>
      <x:c r="I244" s="4" t="str">
        <x:v>Fee based</x:v>
      </x:c>
      <x:c r="J244" s="6" t="n">
        <x:v>983</x:v>
      </x:c>
      <x:c r="K244" s="5" t="str">
        <x:v>Combination of absolute and relative momentum investing in leading stocks ; Rcmd amt : 5-15 lacs</x:v>
      </x:c>
      <x:c r="L244" s="5" t="str">
        <x:v>No sector tags assigned; see description</x:v>
      </x:c>
      <x:c r="M244" s="7" t="d">
        <x:v>2026-10-26T00:00:00.000Z</x:v>
      </x:c>
      <x:c r="N244" s="8" t="str">
        <x:v>https://www.smallcase.com/smallcase/cwa-dual-momentum-COWAMO_0007</x:v>
      </x:c>
      <x:c r="O244" s="4" t="str">
        <x:v>COWAMO_0007</x:v>
      </x:c>
      <x:c r="P244" s="5" t="str">
        <x:v>Diversified; sector mandate not specified</x:v>
      </x:c>
    </x:row>
    <x:row r="245" ht="60" customHeight="1">
      <x:c r="A245" s="4" t="n">
        <x:v>240</x:v>
      </x:c>
      <x:c r="B245" s="5" t="str">
        <x:v>GoalFi India Wealth &amp; Financial Growth Theme</x:v>
      </x:c>
      <x:c r="C245" s="5" t="str">
        <x:v>GoalFi</x:v>
      </x:c>
      <x:c r="D245" s="5" t="str">
        <x:v>Sector / industry theme</x:v>
      </x:c>
      <x:c r="E245" s="5" t="str">
        <x:v>Capital markets &amp; wealth management</x:v>
      </x:c>
      <x:c r="F245" s="5" t="str">
        <x:v>Fundamental / growth / quality</x:v>
      </x:c>
      <x:c r="G245" s="6" t="n">
        <x:v>75000</x:v>
      </x:c>
      <x:c r="H245" s="4" t="str">
        <x:v>High</x:v>
      </x:c>
      <x:c r="I245" s="4" t="str">
        <x:v>Fee based</x:v>
      </x:c>
      <x:c r="J245" s="6" t="n">
        <x:v>624</x:v>
      </x:c>
      <x:c r="K245" s="5" t="str">
        <x:v>A 15-stock thematic portfolio holding companies most directly exposed to the theme.</x:v>
      </x:c>
      <x:c r="L245" s="5" t="str">
        <x:v>Title and listing description</x:v>
      </x:c>
      <x:c r="M245" s="7" t="d">
        <x:v>2026-10-15T00:00:00.000Z</x:v>
      </x:c>
      <x:c r="N245" s="8" t="str">
        <x:v>https://www.smallcase.com/smallcase/goalfi-wealth-waves-GOALMO_0154</x:v>
      </x:c>
      <x:c r="O245" s="4" t="str">
        <x:v>GOALMO_0154</x:v>
      </x:c>
      <x:c r="P245" s="5" t="str"/>
    </x:row>
    <x:row r="246" ht="60" customHeight="1">
      <x:c r="A246" s="4" t="n">
        <x:v>241</x:v>
      </x:c>
      <x:c r="B246" s="5" t="str">
        <x:v>smartvalues - multiasset Asset Allocation</x:v>
      </x:c>
      <x:c r="C246" s="5" t="str">
        <x:v>Lamron Analysts</x:v>
      </x:c>
      <x:c r="D246" s="5" t="str">
        <x:v>Asset allocation / target date</x:v>
      </x:c>
      <x:c r="E246" s="5" t="str">
        <x:v>No specific industry mandate identified</x:v>
      </x:c>
      <x:c r="F246" s="5" t="str">
        <x:v>Asset allocation</x:v>
      </x:c>
      <x:c r="G246" s="6" t="n">
        <x:v>17186</x:v>
      </x:c>
      <x:c r="H246" s="4" t="str">
        <x:v>High</x:v>
      </x:c>
      <x:c r="I246" s="4" t="str">
        <x:v>Fee based</x:v>
      </x:c>
      <x:c r="J246" s="6" t="n">
        <x:v>875</x:v>
      </x:c>
      <x:c r="K246" s="5" t="str">
        <x:v>One portfolio, four pillars: gold, silver, equity index, and proven large-cap strength.</x:v>
      </x:c>
      <x:c r="L246" s="5" t="str">
        <x:v>No sector tags assigned; see description</x:v>
      </x:c>
      <x:c r="M246" s="7" t="d">
        <x:v>2025-10-20T00:00:00.000Z</x:v>
      </x:c>
      <x:c r="N246" s="8" t="str">
        <x:v>https://www.smallcase.com/smallcase/smartvalues-multiasset-LMRMO_0016</x:v>
      </x:c>
      <x:c r="O246" s="4" t="str">
        <x:v>LMRMO_0016</x:v>
      </x:c>
      <x:c r="P246" s="5" t="str">
        <x:v>Asset allocation / target date</x:v>
      </x:c>
    </x:row>
    <x:row r="247" ht="60" customHeight="1">
      <x:c r="A247" s="4" t="n">
        <x:v>242</x:v>
      </x:c>
      <x:c r="B247" s="5" t="str">
        <x:v>smartvalues - digital Theme</x:v>
      </x:c>
      <x:c r="C247" s="5" t="str">
        <x:v>Lamron Analysts</x:v>
      </x:c>
      <x:c r="D247" s="5" t="str">
        <x:v>Sector / industry theme</x:v>
      </x:c>
      <x:c r="E247" s="5" t="str">
        <x:v>IT, software &amp; digital platforms</x:v>
      </x:c>
      <x:c r="F247" s="5" t="str">
        <x:v>Value / contrarian</x:v>
      </x:c>
      <x:c r="G247" s="6" t="n">
        <x:v>58612</x:v>
      </x:c>
      <x:c r="H247" s="4" t="str">
        <x:v>Medium</x:v>
      </x:c>
      <x:c r="I247" s="4" t="str">
        <x:v>Fee based</x:v>
      </x:c>
      <x:c r="J247" s="6" t="n">
        <x:v>895</x:v>
      </x:c>
      <x:c r="K247" s="5" t="str">
        <x:v>Ten digital leaders, one focused portfolio, built to capture tomorrow’s growth opportunities.</x:v>
      </x:c>
      <x:c r="L247" s="5" t="str">
        <x:v>Title and listing description</x:v>
      </x:c>
      <x:c r="M247" s="7" t="d">
        <x:v>2026-06-16T00:00:00.000Z</x:v>
      </x:c>
      <x:c r="N247" s="8" t="str">
        <x:v>https://www.smallcase.com/smallcase/smartvalues-digital-theme-LMRNM_0005</x:v>
      </x:c>
      <x:c r="O247" s="4" t="str">
        <x:v>LMRNM_0005</x:v>
      </x:c>
      <x:c r="P247" s="5" t="str"/>
    </x:row>
    <x:row r="248" ht="60" customHeight="1">
      <x:c r="A248" s="4" t="n">
        <x:v>243</x:v>
      </x:c>
      <x:c r="B248" s="5" t="str">
        <x:v>Stockwiz Alpha Synergy Model</x:v>
      </x:c>
      <x:c r="C248" s="5" t="str">
        <x:v>STOCKWIZ TECHNOLOGIES LLP</x:v>
      </x:c>
      <x:c r="D248" s="5" t="str">
        <x:v>Diversified / strategy</x:v>
      </x:c>
      <x:c r="E248" s="5" t="str">
        <x:v>No specific industry mandate identified</x:v>
      </x:c>
      <x:c r="F248" s="5" t="str">
        <x:v>Other / not specified</x:v>
      </x:c>
      <x:c r="G248" s="6" t="n">
        <x:v>19737</x:v>
      </x:c>
      <x:c r="H248" s="4" t="str">
        <x:v>High</x:v>
      </x:c>
      <x:c r="I248" s="4" t="str">
        <x:v>Fee based</x:v>
      </x:c>
      <x:c r="J248" s="6" t="n">
        <x:v>737</x:v>
      </x:c>
      <x:c r="K248" s="5" t="str">
        <x:v>A portfolio built on a techno-funda approach—combining strong price action with robust financials.</x:v>
      </x:c>
      <x:c r="L248" s="5" t="str">
        <x:v>No sector tags assigned; see description</x:v>
      </x:c>
      <x:c r="M248" s="7" t="d">
        <x:v>2026-10-22T00:00:00.000Z</x:v>
      </x:c>
      <x:c r="N248" s="8" t="str">
        <x:v>https://www.smallcase.com/smallcase/stockwiz-alpha-synergy-model-SWTEMX_0008</x:v>
      </x:c>
      <x:c r="O248" s="4" t="str">
        <x:v>SWTEMX_0008</x:v>
      </x:c>
      <x:c r="P248" s="5" t="str">
        <x:v>Diversified; sector mandate not specified</x:v>
      </x:c>
    </x:row>
    <x:row r="249" ht="60" customHeight="1">
      <x:c r="A249" s="4" t="n">
        <x:v>244</x:v>
      </x:c>
      <x:c r="B249" s="5" t="str">
        <x:v>Mi Allcap Gold Asset Allocation</x:v>
      </x:c>
      <x:c r="C249" s="5" t="str">
        <x:v>WeekendInvesting</x:v>
      </x:c>
      <x:c r="D249" s="5" t="str">
        <x:v>Asset allocation / target date</x:v>
      </x:c>
      <x:c r="E249" s="5" t="str">
        <x:v>No specific industry mandate identified</x:v>
      </x:c>
      <x:c r="F249" s="5" t="str">
        <x:v>Asset allocation</x:v>
      </x:c>
      <x:c r="G249" s="6" t="n">
        <x:v>373667</x:v>
      </x:c>
      <x:c r="H249" s="4" t="str">
        <x:v>High</x:v>
      </x:c>
      <x:c r="I249" s="4" t="str">
        <x:v>Fee based</x:v>
      </x:c>
      <x:c r="J249" s="6" t="n">
        <x:v>1666</x:v>
      </x:c>
      <x:c r="K249" s="5" t="str">
        <x:v>Mi Allcap Gold: A core strategy to allocate 25% each to Large Cap , Mid Caps, Smallcaps &amp; Gold</x:v>
      </x:c>
      <x:c r="L249" s="5" t="str">
        <x:v>No sector tags assigned; see description</x:v>
      </x:c>
      <x:c r="M249" s="7" t="d">
        <x:v>2026-10-26T00:00:00.000Z</x:v>
      </x:c>
      <x:c r="N249" s="8" t="str">
        <x:v>https://www.smallcase.com/smallcase/evergreen-allcap-gold-asset-allocation-WKIAA_0001</x:v>
      </x:c>
      <x:c r="O249" s="4" t="str">
        <x:v>WKIAA_0001</x:v>
      </x:c>
      <x:c r="P249" s="5" t="str">
        <x:v>Asset allocation / target date</x:v>
      </x:c>
    </x:row>
    <x:row r="250" ht="60" customHeight="1">
      <x:c r="A250" s="4" t="n">
        <x:v>245</x:v>
      </x:c>
      <x:c r="B250" s="5" t="str">
        <x:v>SSR Top 5 ETF Momentum Model</x:v>
      </x:c>
      <x:c r="C250" s="5" t="str">
        <x:v>SSR Research Services</x:v>
      </x:c>
      <x:c r="D250" s="5" t="str">
        <x:v>Diversified / strategy</x:v>
      </x:c>
      <x:c r="E250" s="5" t="str">
        <x:v>No specific industry mandate identified</x:v>
      </x:c>
      <x:c r="F250" s="5" t="str">
        <x:v>Momentum / trend</x:v>
      </x:c>
      <x:c r="G250" s="6" t="n">
        <x:v>438</x:v>
      </x:c>
      <x:c r="H250" s="4" t="str">
        <x:v>High</x:v>
      </x:c>
      <x:c r="I250" s="4" t="str">
        <x:v>Fee based</x:v>
      </x:c>
      <x:c r="J250" s="6" t="n">
        <x:v>942</x:v>
      </x:c>
      <x:c r="K250" s="5" t="str">
        <x:v>5 high-momentum ETFs from NSE listed universe, diversified portfolio, rebalanced weekly.</x:v>
      </x:c>
      <x:c r="L250" s="5" t="str">
        <x:v>No sector tags assigned; see description</x:v>
      </x:c>
      <x:c r="M250" s="7" t="d">
        <x:v>2026-10-23T00:00:00.000Z</x:v>
      </x:c>
      <x:c r="N250" s="8" t="str">
        <x:v>https://www.smallcase.com/smallcase/ssr-top-5-etf-momentum-model-SSRSFAM_0005</x:v>
      </x:c>
      <x:c r="O250" s="4" t="str">
        <x:v>SSRSFAM_0005</x:v>
      </x:c>
      <x:c r="P250" s="5" t="str">
        <x:v>Diversified; sector mandate not specified</x:v>
      </x:c>
    </x:row>
    <x:row r="251" ht="60" customHeight="1">
      <x:c r="A251" s="4" t="n">
        <x:v>246</x:v>
      </x:c>
      <x:c r="B251" s="5" t="str">
        <x:v>SSR Midas Momentum Model</x:v>
      </x:c>
      <x:c r="C251" s="5" t="str">
        <x:v>SSR Research Services</x:v>
      </x:c>
      <x:c r="D251" s="5" t="str">
        <x:v>Asset allocation / target date</x:v>
      </x:c>
      <x:c r="E251" s="5" t="str">
        <x:v>No specific industry mandate identified</x:v>
      </x:c>
      <x:c r="F251" s="5" t="str">
        <x:v>Asset allocation</x:v>
      </x:c>
      <x:c r="G251" s="6" t="n">
        <x:v>88278</x:v>
      </x:c>
      <x:c r="H251" s="4" t="str">
        <x:v>Medium</x:v>
      </x:c>
      <x:c r="I251" s="4" t="str">
        <x:v>Fee based</x:v>
      </x:c>
      <x:c r="J251" s="6" t="n">
        <x:v>942</x:v>
      </x:c>
      <x:c r="K251" s="5" t="str">
        <x:v>Gold &amp; Equity Combo. 25 high-momentum stocks from Nifty 750 universe and Gold ETF rebalanced weekly</x:v>
      </x:c>
      <x:c r="L251" s="5" t="str">
        <x:v>No sector tags assigned; see description</x:v>
      </x:c>
      <x:c r="M251" s="7" t="d">
        <x:v>2026-10-23T00:00:00.000Z</x:v>
      </x:c>
      <x:c r="N251" s="8" t="str">
        <x:v>https://www.smallcase.com/smallcase/ssr-nifty-750-midas-momentum-model-SSRSFAM_0006</x:v>
      </x:c>
      <x:c r="O251" s="4" t="str">
        <x:v>SSRSFAM_0006</x:v>
      </x:c>
      <x:c r="P251" s="5" t="str">
        <x:v>Asset allocation / target date</x:v>
      </x:c>
    </x:row>
    <x:row r="252" ht="60" customHeight="1">
      <x:c r="A252" s="4" t="n">
        <x:v>247</x:v>
      </x:c>
      <x:c r="B252" s="5" t="str">
        <x:v>Ikashi Value Investing Fundamental</x:v>
      </x:c>
      <x:c r="C252" s="5" t="str">
        <x:v>IKASHI FINTECH PRIVATE LIMITED</x:v>
      </x:c>
      <x:c r="D252" s="5" t="str">
        <x:v>Diversified / strategy</x:v>
      </x:c>
      <x:c r="E252" s="5" t="str">
        <x:v>No specific industry mandate identified</x:v>
      </x:c>
      <x:c r="F252" s="5" t="str">
        <x:v>Value / contrarian</x:v>
      </x:c>
      <x:c r="G252" s="6" t="n">
        <x:v>21893</x:v>
      </x:c>
      <x:c r="H252" s="4" t="str">
        <x:v>High</x:v>
      </x:c>
      <x:c r="I252" s="4" t="str">
        <x:v>Fee based</x:v>
      </x:c>
      <x:c r="J252" s="6" t="n">
        <x:v>833</x:v>
      </x:c>
      <x:c r="K252" s="5" t="str">
        <x:v>A high-conviction portfolio of 10-15 quality stocks selected at discounted valuations</x:v>
      </x:c>
      <x:c r="L252" s="5" t="str">
        <x:v>No sector tags assigned; see description</x:v>
      </x:c>
      <x:c r="M252" s="7" t="d">
        <x:v>2026-09-25T00:00:00.000Z</x:v>
      </x:c>
      <x:c r="N252" s="8" t="str">
        <x:v>https://www.smallcase.com/smallcase/ikashi-value-investing-theme-IFPLNM_0001</x:v>
      </x:c>
      <x:c r="O252" s="4" t="str">
        <x:v>IFPLNM_0001</x:v>
      </x:c>
      <x:c r="P252" s="5" t="str">
        <x:v>Diversified; sector mandate not specified</x:v>
      </x:c>
    </x:row>
    <x:row r="253" ht="60" customHeight="1">
      <x:c r="A253" s="4" t="n">
        <x:v>248</x:v>
      </x:c>
      <x:c r="B253" s="5" t="str">
        <x:v>Next Microcap Quant</x:v>
      </x:c>
      <x:c r="C253" s="5" t="str">
        <x:v>Quantace Research</x:v>
      </x:c>
      <x:c r="D253" s="5" t="str">
        <x:v>Diversified / strategy</x:v>
      </x:c>
      <x:c r="E253" s="5" t="str">
        <x:v>No specific industry mandate identified</x:v>
      </x:c>
      <x:c r="F253" s="5" t="str">
        <x:v>Quant / factor</x:v>
      </x:c>
      <x:c r="G253" s="6" t="n">
        <x:v>101288</x:v>
      </x:c>
      <x:c r="H253" s="4" t="str">
        <x:v>High</x:v>
      </x:c>
      <x:c r="I253" s="4" t="str">
        <x:v>Fee based</x:v>
      </x:c>
      <x:c r="J253" s="6" t="n">
        <x:v>1566</x:v>
      </x:c>
      <x:c r="K253" s="5" t="str">
        <x:v>Unlock hidden opportunities with BSE Next 250 Microcap</x:v>
      </x:c>
      <x:c r="L253" s="5" t="str">
        <x:v>No sector tags assigned; see description</x:v>
      </x:c>
      <x:c r="M253" s="7" t="d">
        <x:v>2026-10-26T00:00:00.000Z</x:v>
      </x:c>
      <x:c r="N253" s="8" t="str">
        <x:v>https://www.smallcase.com/smallcase/next-microcap-quant-QUREQM_0003</x:v>
      </x:c>
      <x:c r="O253" s="4" t="str">
        <x:v>QUREQM_0003</x:v>
      </x:c>
      <x:c r="P253" s="5" t="str">
        <x:v>Diversified; sector mandate not specified</x:v>
      </x:c>
    </x:row>
    <x:row r="254" ht="60" customHeight="1">
      <x:c r="A254" s="4" t="n">
        <x:v>249</x:v>
      </x:c>
      <x:c r="B254" s="5" t="str">
        <x:v>Special Situations Theme</x:v>
      </x:c>
      <x:c r="C254" s="5" t="str">
        <x:v>Paterson</x:v>
      </x:c>
      <x:c r="D254" s="5" t="str">
        <x:v>Event / ownership / listing theme</x:v>
      </x:c>
      <x:c r="E254" s="5" t="str">
        <x:v>No specific industry mandate identified</x:v>
      </x:c>
      <x:c r="F254" s="5" t="str">
        <x:v>Other / not specified</x:v>
      </x:c>
      <x:c r="G254" s="6" t="n">
        <x:v>22799</x:v>
      </x:c>
      <x:c r="H254" s="4" t="str">
        <x:v>High</x:v>
      </x:c>
      <x:c r="I254" s="4" t="str">
        <x:v>Fee based</x:v>
      </x:c>
      <x:c r="J254" s="6" t="n">
        <x:v>623</x:v>
      </x:c>
      <x:c r="K254" s="5" t="str">
        <x:v>Special events that make big money - mergers, acquisitions, demergers, spin-offs, turnarounds.</x:v>
      </x:c>
      <x:c r="L254" s="5" t="str">
        <x:v>No sector tags assigned; see description</x:v>
      </x:c>
      <x:c r="M254" s="7" t="d">
        <x:v>2026-08-27T00:00:00.000Z</x:v>
      </x:c>
      <x:c r="N254" s="8" t="str">
        <x:v>https://www.smallcase.com/smallcase/special-situations-theme-RUPENM_0016</x:v>
      </x:c>
      <x:c r="O254" s="4" t="str">
        <x:v>RUPENM_0016</x:v>
      </x:c>
      <x:c r="P254" s="5" t="str">
        <x:v>Event / ownership / listing theme</x:v>
      </x:c>
    </x:row>
    <x:row r="255" ht="60" customHeight="1">
      <x:c r="A255" s="4" t="n">
        <x:v>250</x:v>
      </x:c>
      <x:c r="B255" s="5" t="str">
        <x:v>FidelFolio Neuro Equity Quant</x:v>
      </x:c>
      <x:c r="C255" s="5" t="str">
        <x:v>FidelFolio Investment</x:v>
      </x:c>
      <x:c r="D255" s="5" t="str">
        <x:v>Diversified / strategy</x:v>
      </x:c>
      <x:c r="E255" s="5" t="str">
        <x:v>No specific industry mandate identified</x:v>
      </x:c>
      <x:c r="F255" s="5" t="str">
        <x:v>Quant / factor</x:v>
      </x:c>
      <x:c r="G255" s="6" t="n">
        <x:v>77878</x:v>
      </x:c>
      <x:c r="H255" s="4" t="str">
        <x:v>High</x:v>
      </x:c>
      <x:c r="I255" s="4" t="str">
        <x:v>Not shown</x:v>
      </x:c>
      <x:c r="J255" s="6"/>
      <x:c r="K255" s="5" t="str">
        <x:v>FidelFolio’s ML series, bringing machine learning–based intelligence to long-term investing.</x:v>
      </x:c>
      <x:c r="L255" s="5" t="str">
        <x:v>No sector tags assigned; see description</x:v>
      </x:c>
      <x:c r="M255" s="7" t="d">
        <x:v>2025-12-22T00:00:00.000Z</x:v>
      </x:c>
      <x:c r="N255" s="8" t="str">
        <x:v>https://www.smallcase.com/smallcase/neuro-alpha-quant-KIUPQM_0004</x:v>
      </x:c>
      <x:c r="O255" s="4" t="str">
        <x:v>KIUPQM_0004</x:v>
      </x:c>
      <x:c r="P255" s="5" t="str">
        <x:v>Diversified; sector mandate not specified</x:v>
      </x:c>
    </x:row>
    <x:row r="256" ht="60" customHeight="1">
      <x:c r="A256" s="4" t="n">
        <x:v>251</x:v>
      </x:c>
      <x:c r="B256" s="5" t="str">
        <x:v>FINZ ETF Basket Asset Allocation</x:v>
      </x:c>
      <x:c r="C256" s="5" t="str">
        <x:v>Finkhoz Roboadvisory Services Private Limited</x:v>
      </x:c>
      <x:c r="D256" s="5" t="str">
        <x:v>Asset allocation / target date</x:v>
      </x:c>
      <x:c r="E256" s="5" t="str">
        <x:v>No specific industry mandate identified</x:v>
      </x:c>
      <x:c r="F256" s="5" t="str">
        <x:v>Asset allocation</x:v>
      </x:c>
      <x:c r="G256" s="6" t="n">
        <x:v>1146</x:v>
      </x:c>
      <x:c r="H256" s="4" t="str">
        <x:v>Medium</x:v>
      </x:c>
      <x:c r="I256" s="4" t="str">
        <x:v>Fee based</x:v>
      </x:c>
      <x:c r="J256" s="6" t="n">
        <x:v>491</x:v>
      </x:c>
      <x:c r="K256" s="5" t="str">
        <x:v>Diversified Basket of equity and commodity ETFs focused on stability and long-term wealth creation.</x:v>
      </x:c>
      <x:c r="L256" s="5" t="str">
        <x:v>No sector tags assigned; see description</x:v>
      </x:c>
      <x:c r="M256" s="7" t="d">
        <x:v>2026-10-26T00:00:00.000Z</x:v>
      </x:c>
      <x:c r="N256" s="8" t="str">
        <x:v>https://www.smallcase.com/smallcase/finz-etf-basket-quant-FIROQM_0006</x:v>
      </x:c>
      <x:c r="O256" s="4" t="str">
        <x:v>FIROQM_0006</x:v>
      </x:c>
      <x:c r="P256" s="5" t="str">
        <x:v>Asset allocation / target date</x:v>
      </x:c>
    </x:row>
    <x:row r="257" ht="60" customHeight="1">
      <x:c r="A257" s="4" t="n">
        <x:v>252</x:v>
      </x:c>
      <x:c r="B257" s="5" t="str">
        <x:v>Cyclical &amp; Fundamental Opportunities Basket Theme</x:v>
      </x:c>
      <x:c r="C257" s="5" t="str">
        <x:v>KamayaKya</x:v>
      </x:c>
      <x:c r="D257" s="5" t="str">
        <x:v>Diversified / strategy</x:v>
      </x:c>
      <x:c r="E257" s="5" t="str">
        <x:v>No specific industry mandate identified</x:v>
      </x:c>
      <x:c r="F257" s="5" t="str">
        <x:v>Fundamental / growth / quality</x:v>
      </x:c>
      <x:c r="G257" s="6" t="n">
        <x:v>500000</x:v>
      </x:c>
      <x:c r="H257" s="4" t="str">
        <x:v>High</x:v>
      </x:c>
      <x:c r="I257" s="4" t="str">
        <x:v>Fee based</x:v>
      </x:c>
      <x:c r="J257" s="6" t="n">
        <x:v>1029</x:v>
      </x:c>
      <x:c r="K257" s="5" t="str">
        <x:v>Covers only cyclical stocks. Thesis: Cheap entry valuations + current downturn + upcycle visibility</x:v>
      </x:c>
      <x:c r="L257" s="5" t="str">
        <x:v>No sector tags assigned; see description</x:v>
      </x:c>
      <x:c r="M257" s="7" t="d">
        <x:v>2026-08-31T00:00:00.000Z</x:v>
      </x:c>
      <x:c r="N257" s="8" t="str">
        <x:v>https://www.smallcase.com/smallcase/cyclical-and-fundamental-opportunities-basket-theme-KAKYNM_0001</x:v>
      </x:c>
      <x:c r="O257" s="4" t="str">
        <x:v>KAKYNM_0001</x:v>
      </x:c>
      <x:c r="P257" s="5" t="str">
        <x:v>Commodities / cyclicals</x:v>
      </x:c>
    </x:row>
    <x:row r="258" ht="60" customHeight="1">
      <x:c r="A258" s="4" t="n">
        <x:v>253</x:v>
      </x:c>
      <x:c r="B258" s="5" t="str">
        <x:v>Divitiae Value Advantage Fundamental</x:v>
      </x:c>
      <x:c r="C258" s="5" t="str">
        <x:v>Divitiae Investments</x:v>
      </x:c>
      <x:c r="D258" s="5" t="str">
        <x:v>Diversified / strategy</x:v>
      </x:c>
      <x:c r="E258" s="5" t="str">
        <x:v>No specific industry mandate identified</x:v>
      </x:c>
      <x:c r="F258" s="5" t="str">
        <x:v>Value / contrarian</x:v>
      </x:c>
      <x:c r="G258" s="6" t="n">
        <x:v>72120</x:v>
      </x:c>
      <x:c r="H258" s="4" t="str">
        <x:v>High</x:v>
      </x:c>
      <x:c r="I258" s="4" t="str">
        <x:v>Fee based</x:v>
      </x:c>
      <x:c r="J258" s="6" t="n">
        <x:v>833</x:v>
      </x:c>
      <x:c r="K258" s="5" t="str">
        <x:v>This smallcase invests in fundamentally strong companies at compelling valuations</x:v>
      </x:c>
      <x:c r="L258" s="5" t="str">
        <x:v>No sector tags assigned; see description</x:v>
      </x:c>
      <x:c r="M258" s="7" t="d">
        <x:v>2026-10-08T00:00:00.000Z</x:v>
      </x:c>
      <x:c r="N258" s="8" t="str">
        <x:v>https://www.smallcase.com/smallcase/divitiae-value-advantage-fundamental-DIANFMM_0003</x:v>
      </x:c>
      <x:c r="O258" s="4" t="str">
        <x:v>DIANFMM_0003</x:v>
      </x:c>
      <x:c r="P258" s="5" t="str">
        <x:v>Diversified; sector mandate not specified</x:v>
      </x:c>
    </x:row>
    <x:row r="259" ht="60" customHeight="1">
      <x:c r="A259" s="4" t="n">
        <x:v>254</x:v>
      </x:c>
      <x:c r="B259" s="5" t="str">
        <x:v>Divitiae Export Compounders Theme</x:v>
      </x:c>
      <x:c r="C259" s="5" t="str">
        <x:v>Divitiae Investments</x:v>
      </x:c>
      <x:c r="D259" s="5" t="str">
        <x:v>Diversified / strategy</x:v>
      </x:c>
      <x:c r="E259" s="5" t="str">
        <x:v>No specific industry mandate identified</x:v>
      </x:c>
      <x:c r="F259" s="5" t="str">
        <x:v>Fundamental / growth / quality</x:v>
      </x:c>
      <x:c r="G259" s="6" t="n">
        <x:v>84278</x:v>
      </x:c>
      <x:c r="H259" s="4" t="str">
        <x:v>High</x:v>
      </x:c>
      <x:c r="I259" s="4" t="str">
        <x:v>Fee based</x:v>
      </x:c>
      <x:c r="J259" s="6" t="n">
        <x:v>833</x:v>
      </x:c>
      <x:c r="K259" s="5" t="str">
        <x:v>This smallcase focuses on Indian exporters and beneficiaries of trade deals with a focus on growth.</x:v>
      </x:c>
      <x:c r="L259" s="5" t="str">
        <x:v>No sector tags assigned; see description</x:v>
      </x:c>
      <x:c r="M259" s="7" t="d">
        <x:v>2026-10-23T00:00:00.000Z</x:v>
      </x:c>
      <x:c r="N259" s="8" t="str">
        <x:v>https://www.smallcase.com/smallcase/divitiae-export-compounders-theme-DIANNM_0001</x:v>
      </x:c>
      <x:c r="O259" s="4" t="str">
        <x:v>DIANNM_0001</x:v>
      </x:c>
      <x:c r="P259" s="5" t="str">
        <x:v>Exports &amp; trade</x:v>
      </x:c>
    </x:row>
    <x:row r="260" ht="60" customHeight="1">
      <x:c r="A260" s="4" t="n">
        <x:v>255</x:v>
      </x:c>
      <x:c r="B260" s="5" t="str">
        <x:v>EquiBoost Capital Markets Theme</x:v>
      </x:c>
      <x:c r="C260" s="5" t="str">
        <x:v>Equiboost Finserv Private Limited</x:v>
      </x:c>
      <x:c r="D260" s="5" t="str">
        <x:v>Sector / industry theme</x:v>
      </x:c>
      <x:c r="E260" s="5" t="str">
        <x:v>Capital markets &amp; wealth management</x:v>
      </x:c>
      <x:c r="F260" s="5" t="str">
        <x:v>Other / not specified</x:v>
      </x:c>
      <x:c r="G260" s="6" t="n">
        <x:v>35053</x:v>
      </x:c>
      <x:c r="H260" s="4" t="str">
        <x:v>High</x:v>
      </x:c>
      <x:c r="I260" s="4" t="str">
        <x:v>Fee based</x:v>
      </x:c>
      <x:c r="J260" s="6" t="n">
        <x:v>437</x:v>
      </x:c>
      <x:c r="K260" s="5" t="str">
        <x:v>Capital market stocks benefit from rising investor participation and growing market activity.</x:v>
      </x:c>
      <x:c r="L260" s="5" t="str">
        <x:v>Title and listing description</x:v>
      </x:c>
      <x:c r="M260" s="7" t="d">
        <x:v>2026-10-13T00:00:00.000Z</x:v>
      </x:c>
      <x:c r="N260" s="8" t="str">
        <x:v>https://www.smallcase.com/smallcase/equiboost-capital-markets-theme-EBFSNM_0003</x:v>
      </x:c>
      <x:c r="O260" s="4" t="str">
        <x:v>EBFSNM_0003</x:v>
      </x:c>
      <x:c r="P260" s="5" t="str"/>
    </x:row>
    <x:row r="261" ht="60" customHeight="1">
      <x:c r="A261" s="4" t="n">
        <x:v>256</x:v>
      </x:c>
      <x:c r="B261" s="5" t="str">
        <x:v>Divitiae AI &amp; Innovation Leaders Theme</x:v>
      </x:c>
      <x:c r="C261" s="5" t="str">
        <x:v>Divitiae Investments</x:v>
      </x:c>
      <x:c r="D261" s="5" t="str">
        <x:v>Sector / industry theme</x:v>
      </x:c>
      <x:c r="E261" s="5" t="str">
        <x:v>AI, data centres &amp; digital infrastructure; Power, utilities &amp; energy</x:v>
      </x:c>
      <x:c r="F261" s="5" t="str">
        <x:v>Other / not specified</x:v>
      </x:c>
      <x:c r="G261" s="6" t="n">
        <x:v>85509</x:v>
      </x:c>
      <x:c r="H261" s="4" t="str">
        <x:v>High</x:v>
      </x:c>
      <x:c r="I261" s="4" t="str">
        <x:v>Fee based</x:v>
      </x:c>
      <x:c r="J261" s="6" t="n">
        <x:v>850</x:v>
      </x:c>
      <x:c r="K261" s="5" t="str">
        <x:v>AI will transform world, but infrastructure will power it this portfolio aims to own those companies</x:v>
      </x:c>
      <x:c r="L261" s="5" t="str">
        <x:v>Title and listing description</x:v>
      </x:c>
      <x:c r="M261" s="7" t="d">
        <x:v>2026-10-26T00:00:00.000Z</x:v>
      </x:c>
      <x:c r="N261" s="8" t="str">
        <x:v>https://www.smallcase.com/smallcase/divitiae-ai-and-data-center-theme-DIANNM_0003</x:v>
      </x:c>
      <x:c r="O261" s="4" t="str">
        <x:v>DIANNM_0003</x:v>
      </x:c>
      <x:c r="P261" s="5" t="str"/>
    </x:row>
    <x:row r="262" ht="60" customHeight="1">
      <x:c r="A262" s="4" t="n">
        <x:v>257</x:v>
      </x:c>
      <x:c r="B262" s="5" t="str">
        <x:v>Super Stories Fundamental</x:v>
      </x:c>
      <x:c r="C262" s="5" t="str">
        <x:v>PowerTrade</x:v>
      </x:c>
      <x:c r="D262" s="5" t="str">
        <x:v>Diversified / strategy</x:v>
      </x:c>
      <x:c r="E262" s="5" t="str">
        <x:v>No specific industry mandate identified</x:v>
      </x:c>
      <x:c r="F262" s="5" t="str">
        <x:v>Momentum / trend</x:v>
      </x:c>
      <x:c r="G262" s="6" t="n">
        <x:v>11713</x:v>
      </x:c>
      <x:c r="H262" s="4" t="str">
        <x:v>High</x:v>
      </x:c>
      <x:c r="I262" s="4" t="str">
        <x:v>Fee based</x:v>
      </x:c>
      <x:c r="J262" s="6" t="n">
        <x:v>2499</x:v>
      </x:c>
      <x:c r="K262" s="5" t="str">
        <x:v>High Potential Companies With Compelling Growth Stories And Strong Earnings Momentum</x:v>
      </x:c>
      <x:c r="L262" s="5" t="str">
        <x:v>No sector tags assigned; see description</x:v>
      </x:c>
      <x:c r="M262" s="7" t="d">
        <x:v>2026-07-09T00:00:00.000Z</x:v>
      </x:c>
      <x:c r="N262" s="8" t="str">
        <x:v>https://www.smallcase.com/smallcase/super-stories-fundamental-PTDFMM_0001</x:v>
      </x:c>
      <x:c r="O262" s="4" t="str">
        <x:v>PTDFMM_0001</x:v>
      </x:c>
      <x:c r="P262" s="5" t="str">
        <x:v>Diversified; sector mandate not specified</x:v>
      </x:c>
    </x:row>
    <x:row r="263" ht="60" customHeight="1">
      <x:c r="A263" s="4" t="n">
        <x:v>258</x:v>
      </x:c>
      <x:c r="B263" s="5" t="str">
        <x:v>Nirivantes Breakout Edge Fundamental</x:v>
      </x:c>
      <x:c r="C263" s="5" t="str">
        <x:v>NIRIVANTES RESEARCH</x:v>
      </x:c>
      <x:c r="D263" s="5" t="str">
        <x:v>Diversified / strategy</x:v>
      </x:c>
      <x:c r="E263" s="5" t="str">
        <x:v>No specific industry mandate identified</x:v>
      </x:c>
      <x:c r="F263" s="5" t="str">
        <x:v>Fundamental / growth / quality</x:v>
      </x:c>
      <x:c r="G263" s="6" t="n">
        <x:v>38910</x:v>
      </x:c>
      <x:c r="H263" s="4" t="str">
        <x:v>High</x:v>
      </x:c>
      <x:c r="I263" s="4" t="str">
        <x:v>Fee based</x:v>
      </x:c>
      <x:c r="J263" s="6" t="n">
        <x:v>791</x:v>
      </x:c>
      <x:c r="K263" s="5" t="str">
        <x:v>High-conviction equity strategy capturing tactical opportunities with disciplined risk management.</x:v>
      </x:c>
      <x:c r="L263" s="5" t="str">
        <x:v>No sector tags assigned; see description</x:v>
      </x:c>
      <x:c r="M263" s="7" t="d">
        <x:v>2026-10-27T00:00:00.000Z</x:v>
      </x:c>
      <x:c r="N263" s="8" t="str">
        <x:v>https://www.smallcase.com/smallcase/nirivantes-breakout-edge-smart-beta-NVNTSB_0001</x:v>
      </x:c>
      <x:c r="O263" s="4" t="str">
        <x:v>NVNTSB_0001</x:v>
      </x:c>
      <x:c r="P263" s="5" t="str">
        <x:v>Diversified; sector mandate not specified</x:v>
      </x:c>
    </x:row>
    <x:row r="264" ht="60" customHeight="1">
      <x:c r="A264" s="4" t="n">
        <x:v>259</x:v>
      </x:c>
      <x:c r="B264" s="5" t="str">
        <x:v>Post-IPO Quality Theme</x:v>
      </x:c>
      <x:c r="C264" s="5" t="str">
        <x:v>Windmill Capital</x:v>
      </x:c>
      <x:c r="D264" s="5" t="str">
        <x:v>Event / ownership / listing theme</x:v>
      </x:c>
      <x:c r="E264" s="5" t="str">
        <x:v>No specific industry mandate identified</x:v>
      </x:c>
      <x:c r="F264" s="5" t="str">
        <x:v>Fundamental / growth / quality</x:v>
      </x:c>
      <x:c r="G264" s="6" t="n">
        <x:v>18129</x:v>
      </x:c>
      <x:c r="H264" s="4" t="str">
        <x:v>High</x:v>
      </x:c>
      <x:c r="I264" s="4" t="str">
        <x:v>Fee based</x:v>
      </x:c>
      <x:c r="J264" s="6" t="n">
        <x:v>512</x:v>
      </x:c>
      <x:c r="K264" s="5" t="str">
        <x:v>Recently listed companies with proven profitability and rigorously filtered for quality checks</x:v>
      </x:c>
      <x:c r="L264" s="5" t="str">
        <x:v>No sector tags assigned; see description</x:v>
      </x:c>
      <x:c r="M264" s="7" t="d">
        <x:v>2026-09-21T00:00:00.000Z</x:v>
      </x:c>
      <x:c r="N264" s="8" t="str">
        <x:v>https://www.smallcase.com/smallcase/post-ipo-quality-theme-SCNM_0028</x:v>
      </x:c>
      <x:c r="O264" s="4" t="str">
        <x:v>SCNM_0028</x:v>
      </x:c>
      <x:c r="P264" s="5" t="str">
        <x:v>Event / ownership / listing theme</x:v>
      </x:c>
    </x:row>
    <x:row r="265" ht="60" customHeight="1">
      <x:c r="A265" s="4" t="n">
        <x:v>260</x:v>
      </x:c>
      <x:c r="B265" s="5" t="str">
        <x:v>Infinity Top Smallcap Opportunities- Quant</x:v>
      </x:c>
      <x:c r="C265" s="5" t="str">
        <x:v>Mojo Infinity</x:v>
      </x:c>
      <x:c r="D265" s="5" t="str">
        <x:v>Diversified / strategy</x:v>
      </x:c>
      <x:c r="E265" s="5" t="str">
        <x:v>No specific industry mandate identified</x:v>
      </x:c>
      <x:c r="F265" s="5" t="str">
        <x:v>Quant / factor</x:v>
      </x:c>
      <x:c r="G265" s="6" t="n">
        <x:v>200000</x:v>
      </x:c>
      <x:c r="H265" s="4" t="str">
        <x:v>High</x:v>
      </x:c>
      <x:c r="I265" s="4" t="str">
        <x:v>Fee based</x:v>
      </x:c>
      <x:c r="J265" s="6" t="n">
        <x:v>499</x:v>
      </x:c>
      <x:c r="K265" s="5" t="str">
        <x:v>A focused portfolio of top Smallcap stocks built for aggressive wealth creation.</x:v>
      </x:c>
      <x:c r="L265" s="5" t="str">
        <x:v>No sector tags assigned; see description</x:v>
      </x:c>
      <x:c r="M265" s="7" t="d">
        <x:v>2026-10-05T00:00:00.000Z</x:v>
      </x:c>
      <x:c r="N265" s="8" t="str">
        <x:v>https://www.smallcase.com/smallcase/infinity-top-smallcap-opportunities-quant-MOJOQM_0011</x:v>
      </x:c>
      <x:c r="O265" s="4" t="str">
        <x:v>MOJOQM_0011</x:v>
      </x:c>
      <x:c r="P265" s="5" t="str">
        <x:v>Diversified; sector mandate not specified</x:v>
      </x:c>
    </x:row>
    <x:row r="266" ht="60" customHeight="1">
      <x:c r="A266" s="4" t="n">
        <x:v>261</x:v>
      </x:c>
      <x:c r="B266" s="5" t="str">
        <x:v>Prime Real Estate Income - REIT Portfolio Theme</x:v>
      </x:c>
      <x:c r="C266" s="5" t="str">
        <x:v>Bastion Research</x:v>
      </x:c>
      <x:c r="D266" s="5" t="str">
        <x:v>Sector / industry theme</x:v>
      </x:c>
      <x:c r="E266" s="5" t="str">
        <x:v>Real estate, housing &amp; REITs</x:v>
      </x:c>
      <x:c r="F266" s="5" t="str">
        <x:v>Other / not specified</x:v>
      </x:c>
      <x:c r="G266" s="6" t="n">
        <x:v>3425</x:v>
      </x:c>
      <x:c r="H266" s="4" t="str">
        <x:v>High</x:v>
      </x:c>
      <x:c r="I266" s="4" t="str">
        <x:v>Fee based</x:v>
      </x:c>
      <x:c r="J266" s="6" t="n">
        <x:v>295</x:v>
      </x:c>
      <x:c r="K266" s="5" t="str">
        <x:v>REIT Portfolio for investors looking for Regular Rent Income + Real Estate Capital Appreciation</x:v>
      </x:c>
      <x:c r="L266" s="5" t="str">
        <x:v>Title and listing description</x:v>
      </x:c>
      <x:c r="M266" s="7" t="d">
        <x:v>2026-08-24T00:00:00.000Z</x:v>
      </x:c>
      <x:c r="N266" s="8" t="str">
        <x:v>https://www.smallcase.com/smallcase/prime-real-estate-income-reit-portfolio-theme-BARENM_0001</x:v>
      </x:c>
      <x:c r="O266" s="4" t="str">
        <x:v>BARENM_0001</x:v>
      </x:c>
      <x:c r="P266" s="5" t="str"/>
    </x:row>
    <x:row r="267" ht="60" customHeight="1">
      <x:c r="A267" s="4" t="n">
        <x:v>262</x:v>
      </x:c>
      <x:c r="B267" s="5" t="str">
        <x:v>EquiTrade Quant</x:v>
      </x:c>
      <x:c r="C267" s="5" t="str">
        <x:v>Equivision Consulting</x:v>
      </x:c>
      <x:c r="D267" s="5" t="str">
        <x:v>Diversified / strategy</x:v>
      </x:c>
      <x:c r="E267" s="5" t="str">
        <x:v>No specific industry mandate identified</x:v>
      </x:c>
      <x:c r="F267" s="5" t="str">
        <x:v>Quant / factor</x:v>
      </x:c>
      <x:c r="G267" s="6" t="n">
        <x:v>257082</x:v>
      </x:c>
      <x:c r="H267" s="4" t="str">
        <x:v>High</x:v>
      </x:c>
      <x:c r="I267" s="4" t="str">
        <x:v>Fee based</x:v>
      </x:c>
      <x:c r="J267" s="6" t="n">
        <x:v>11800</x:v>
      </x:c>
      <x:c r="K267" s="5" t="str">
        <x:v>20-30 stocks: Positional trading Smallcase - designed to capture positive quarterly result surprises</x:v>
      </x:c>
      <x:c r="L267" s="5" t="str">
        <x:v>No sector tags assigned; see description</x:v>
      </x:c>
      <x:c r="M267" s="7" t="d">
        <x:v>2026-10-21T00:00:00.000Z</x:v>
      </x:c>
      <x:c r="N267" s="8" t="str">
        <x:v>https://www.smallcase.com/smallcase/equitrade-quant-EREQQM_0002</x:v>
      </x:c>
      <x:c r="O267" s="4" t="str">
        <x:v>EREQQM_0002</x:v>
      </x:c>
      <x:c r="P267" s="5" t="str">
        <x:v>Diversified; sector mandate not specified</x:v>
      </x:c>
    </x:row>
    <x:row r="268" ht="60" customHeight="1">
      <x:c r="A268" s="4" t="n">
        <x:v>263</x:v>
      </x:c>
      <x:c r="B268" s="5" t="str">
        <x:v>EquiRise SME Fundamental</x:v>
      </x:c>
      <x:c r="C268" s="5" t="str">
        <x:v>Equivision Consulting</x:v>
      </x:c>
      <x:c r="D268" s="5" t="str">
        <x:v>Diversified / strategy</x:v>
      </x:c>
      <x:c r="E268" s="5" t="str">
        <x:v>No specific industry mandate identified</x:v>
      </x:c>
      <x:c r="F268" s="5" t="str">
        <x:v>Fundamental / growth / quality</x:v>
      </x:c>
      <x:c r="G268" s="6" t="n">
        <x:v>5382742</x:v>
      </x:c>
      <x:c r="H268" s="4" t="str">
        <x:v>High</x:v>
      </x:c>
      <x:c r="I268" s="4" t="str">
        <x:v>Fee based</x:v>
      </x:c>
      <x:c r="J268" s="6" t="n">
        <x:v>1475</x:v>
      </x:c>
      <x:c r="K268" s="5" t="str">
        <x:v>20-30 Stocks: High-growth SME &amp; Emerge-listed companies with strong fundamentals &amp; clean promoters</x:v>
      </x:c>
      <x:c r="L268" s="5" t="str">
        <x:v>No sector tags assigned; see description</x:v>
      </x:c>
      <x:c r="M268" s="7" t="d">
        <x:v>2026-10-26T00:00:00.000Z</x:v>
      </x:c>
      <x:c r="N268" s="8" t="str">
        <x:v>https://www.smallcase.com/smallcase/equirise-sme-fundamental-EREQFMM_0014</x:v>
      </x:c>
      <x:c r="O268" s="4" t="str">
        <x:v>EREQFMM_0014</x:v>
      </x:c>
      <x:c r="P268" s="5" t="str">
        <x:v>Diversified; sector mandate not specified</x:v>
      </x:c>
    </x:row>
    <x:row r="269" ht="60" customHeight="1">
      <x:c r="A269" s="4" t="n">
        <x:v>264</x:v>
      </x:c>
      <x:c r="B269" s="5" t="str">
        <x:v>CWA Commodities &amp; Cyclicals Theme</x:v>
      </x:c>
      <x:c r="C269" s="5" t="str">
        <x:v>Compounding Wealth Advisors</x:v>
      </x:c>
      <x:c r="D269" s="5" t="str">
        <x:v>Diversified / strategy</x:v>
      </x:c>
      <x:c r="E269" s="5" t="str">
        <x:v>No specific industry mandate identified</x:v>
      </x:c>
      <x:c r="F269" s="5" t="str">
        <x:v>Other / not specified</x:v>
      </x:c>
      <x:c r="G269" s="6" t="n">
        <x:v>271719</x:v>
      </x:c>
      <x:c r="H269" s="4" t="str">
        <x:v>High</x:v>
      </x:c>
      <x:c r="I269" s="4" t="str">
        <x:v>Fee based</x:v>
      </x:c>
      <x:c r="J269" s="6" t="n">
        <x:v>983</x:v>
      </x:c>
      <x:c r="K269" s="5" t="str">
        <x:v>Systematic Investing in trending and outperforming stocks from the commodity space. Investment 5-15L</x:v>
      </x:c>
      <x:c r="L269" s="5" t="str">
        <x:v>No sector tags assigned; see description</x:v>
      </x:c>
      <x:c r="M269" s="7" t="d">
        <x:v>2026-10-26T00:00:00.000Z</x:v>
      </x:c>
      <x:c r="N269" s="8" t="str">
        <x:v>https://www.smallcase.com/smallcase/cwa-commodities-and-cyclicals-theme-COWANM_0008</x:v>
      </x:c>
      <x:c r="O269" s="4" t="str">
        <x:v>COWANM_0008</x:v>
      </x:c>
      <x:c r="P269" s="5" t="str">
        <x:v>Commodities / cyclicals</x:v>
      </x:c>
    </x:row>
    <x:row r="270" ht="60" customHeight="1">
      <x:c r="A270" s="4" t="n">
        <x:v>265</x:v>
      </x:c>
      <x:c r="B270" s="5" t="str">
        <x:v>Caprize Dynamic Alpha Generator Fundamental</x:v>
      </x:c>
      <x:c r="C270" s="5" t="str">
        <x:v>CAPRIZE INVESTMENT MANAGERS PRIVATE LIMITED</x:v>
      </x:c>
      <x:c r="D270" s="5" t="str">
        <x:v>Diversified / strategy</x:v>
      </x:c>
      <x:c r="E270" s="5" t="str">
        <x:v>No specific industry mandate identified</x:v>
      </x:c>
      <x:c r="F270" s="5" t="str">
        <x:v>Momentum / trend</x:v>
      </x:c>
      <x:c r="G270" s="6" t="n">
        <x:v>2500000</x:v>
      </x:c>
      <x:c r="H270" s="4" t="str">
        <x:v>High</x:v>
      </x:c>
      <x:c r="I270" s="4" t="str">
        <x:v>Fee based</x:v>
      </x:c>
      <x:c r="J270" s="6" t="n">
        <x:v>9440</x:v>
      </x:c>
      <x:c r="K270" s="5" t="str">
        <x:v>Multi-cap, all-sector alpha generation via momentum, thematic tailwinds, value &amp; Earnings Inflection</x:v>
      </x:c>
      <x:c r="L270" s="5" t="str">
        <x:v>No sector tags assigned; see description</x:v>
      </x:c>
      <x:c r="M270" s="7" t="d">
        <x:v>2026-10-28T00:00:00.000Z</x:v>
      </x:c>
      <x:c r="N270" s="8" t="str">
        <x:v>https://www.smallcase.com/smallcase/caprize-dynamic-alpha-generator-fundamental-CAPIFMM_0002</x:v>
      </x:c>
      <x:c r="O270" s="4" t="str">
        <x:v>CAPIFMM_0002</x:v>
      </x:c>
      <x:c r="P270" s="5" t="str">
        <x:v>Diversified; sector mandate not specified</x:v>
      </x:c>
    </x:row>
    <x:row r="271" ht="60" customHeight="1">
      <x:c r="A271" s="4" t="n">
        <x:v>266</x:v>
      </x:c>
      <x:c r="B271" s="5" t="str">
        <x:v>Mi ST ATH Momentum Model</x:v>
      </x:c>
      <x:c r="C271" s="5" t="str">
        <x:v>Weekend Investing</x:v>
      </x:c>
      <x:c r="D271" s="5" t="str">
        <x:v>Diversified / strategy</x:v>
      </x:c>
      <x:c r="E271" s="5" t="str">
        <x:v>No specific industry mandate identified</x:v>
      </x:c>
      <x:c r="F271" s="5" t="str">
        <x:v>Momentum / trend</x:v>
      </x:c>
      <x:c r="G271" s="6" t="n">
        <x:v>92296</x:v>
      </x:c>
      <x:c r="H271" s="4" t="str">
        <x:v>High</x:v>
      </x:c>
      <x:c r="I271" s="4" t="str">
        <x:v>Fee based</x:v>
      </x:c>
      <x:c r="J271" s="6" t="n">
        <x:v>1249</x:v>
      </x:c>
      <x:c r="K271" s="5" t="str">
        <x:v>10 strongest and liquid stocks hitting All Time Highs | Downside protection | Weekly Rebalanced</x:v>
      </x:c>
      <x:c r="L271" s="5" t="str">
        <x:v>No sector tags assigned; see description</x:v>
      </x:c>
      <x:c r="M271" s="7" t="d">
        <x:v>2026-10-26T00:00:00.000Z</x:v>
      </x:c>
      <x:c r="N271" s="8" t="str">
        <x:v>https://www.smallcase.com/smallcase/mi_st_ath-WKIMO_0007</x:v>
      </x:c>
      <x:c r="O271" s="4" t="str">
        <x:v>WKIMO_0007</x:v>
      </x:c>
      <x:c r="P271" s="5" t="str">
        <x:v>Diversified; sector mandate not specified</x:v>
      </x:c>
    </x:row>
    <x:row r="272" ht="60" customHeight="1">
      <x:c r="A272" s="4" t="n">
        <x:v>267</x:v>
      </x:c>
      <x:c r="B272" s="5" t="str">
        <x:v>Naayaab Shariah Gems Theme</x:v>
      </x:c>
      <x:c r="C272" s="5" t="str">
        <x:v>Ethical Advisers</x:v>
      </x:c>
      <x:c r="D272" s="5" t="str">
        <x:v>Ethical / ESG screen</x:v>
      </x:c>
      <x:c r="E272" s="5" t="str">
        <x:v>No specific industry mandate identified</x:v>
      </x:c>
      <x:c r="F272" s="5" t="str">
        <x:v>Ethical / ESG</x:v>
      </x:c>
      <x:c r="G272" s="6" t="n">
        <x:v>232071</x:v>
      </x:c>
      <x:c r="H272" s="4" t="str">
        <x:v>Medium</x:v>
      </x:c>
      <x:c r="I272" s="4" t="str">
        <x:v>Fee based</x:v>
      </x:c>
      <x:c r="J272" s="6" t="n">
        <x:v>708</x:v>
      </x:c>
      <x:c r="K272" s="5" t="str">
        <x:v>A curated mix of India Inc's leading Shariah compliant businesses</x:v>
      </x:c>
      <x:c r="L272" s="5" t="str">
        <x:v>No sector tags assigned; see description</x:v>
      </x:c>
      <x:c r="M272" s="7" t="d">
        <x:v>2026-08-24T00:00:00.000Z</x:v>
      </x:c>
      <x:c r="N272" s="8" t="str">
        <x:v>https://www.smallcase.com/smallcase/naayaab-shariah-gems-EHANM_0014</x:v>
      </x:c>
      <x:c r="O272" s="4" t="str">
        <x:v>EHANM_0014</x:v>
      </x:c>
      <x:c r="P272" s="5" t="str">
        <x:v>Ethical / ESG screen</x:v>
      </x:c>
    </x:row>
    <x:row r="273" ht="60" customHeight="1">
      <x:c r="A273" s="4" t="n">
        <x:v>268</x:v>
      </x:c>
      <x:c r="B273" s="5" t="str">
        <x:v>Environment Social Governance - ESG Theme</x:v>
      </x:c>
      <x:c r="C273" s="5" t="str">
        <x:v>Green Portfolio</x:v>
      </x:c>
      <x:c r="D273" s="5" t="str">
        <x:v>Ethical / ESG screen</x:v>
      </x:c>
      <x:c r="E273" s="5" t="str">
        <x:v>No specific industry mandate identified</x:v>
      </x:c>
      <x:c r="F273" s="5" t="str">
        <x:v>Ethical / ESG</x:v>
      </x:c>
      <x:c r="G273" s="6" t="n">
        <x:v>11774</x:v>
      </x:c>
      <x:c r="H273" s="4" t="str">
        <x:v>High</x:v>
      </x:c>
      <x:c r="I273" s="4" t="str">
        <x:v>Fee based</x:v>
      </x:c>
      <x:c r="J273" s="6" t="n">
        <x:v>590</x:v>
      </x:c>
      <x:c r="K273" s="5" t="str">
        <x:v>ESG focused fund for long term sustainable wealth creation</x:v>
      </x:c>
      <x:c r="L273" s="5" t="str">
        <x:v>No sector tags assigned; see description</x:v>
      </x:c>
      <x:c r="M273" s="7" t="d">
        <x:v>2025-12-08T00:00:00.000Z</x:v>
      </x:c>
      <x:c r="N273" s="8" t="str">
        <x:v>https://www.smallcase.com/smallcase/green-portfolio-esg-smallmid-cap-fund-GPRMO_0012</x:v>
      </x:c>
      <x:c r="O273" s="4" t="str">
        <x:v>GPRMO_0012</x:v>
      </x:c>
      <x:c r="P273" s="5" t="str">
        <x:v>Ethical / ESG screen</x:v>
      </x:c>
    </x:row>
    <x:row r="274" ht="60" customHeight="1">
      <x:c r="A274" s="4" t="n">
        <x:v>269</x:v>
      </x:c>
      <x:c r="B274" s="5" t="str">
        <x:v>GEM-Q - Asset Allocation Model</x:v>
      </x:c>
      <x:c r="C274" s="5" t="str">
        <x:v>Windmill Capital</x:v>
      </x:c>
      <x:c r="D274" s="5" t="str">
        <x:v>Asset allocation / target date</x:v>
      </x:c>
      <x:c r="E274" s="5" t="str">
        <x:v>No specific industry mandate identified</x:v>
      </x:c>
      <x:c r="F274" s="5" t="str">
        <x:v>Asset allocation</x:v>
      </x:c>
      <x:c r="G274" s="6" t="n">
        <x:v>56403</x:v>
      </x:c>
      <x:c r="H274" s="4" t="str">
        <x:v>High</x:v>
      </x:c>
      <x:c r="I274" s="4" t="str">
        <x:v>Fee based</x:v>
      </x:c>
      <x:c r="J274" s="6" t="n">
        <x:v>1075</x:v>
      </x:c>
      <x:c r="K274" s="5" t="str">
        <x:v>Efficient, growing companies with positive momentum and diversification benefits of gold &amp; debt</x:v>
      </x:c>
      <x:c r="L274" s="5" t="str">
        <x:v>No sector tags assigned; see description</x:v>
      </x:c>
      <x:c r="M274" s="7" t="d">
        <x:v>2026-10-26T00:00:00.000Z</x:v>
      </x:c>
      <x:c r="N274" s="8" t="str">
        <x:v>https://www.smallcase.com/smallcase/gem-q-asset-allocation-model-SCMO_0045</x:v>
      </x:c>
      <x:c r="O274" s="4" t="str">
        <x:v>SCMO_0045</x:v>
      </x:c>
      <x:c r="P274" s="5" t="str">
        <x:v>Asset allocation / target date</x:v>
      </x:c>
    </x:row>
    <x:row r="275" ht="60" customHeight="1">
      <x:c r="A275" s="4" t="n">
        <x:v>270</x:v>
      </x:c>
      <x:c r="B275" s="5" t="str">
        <x:v>Housing Demand Resurgence Pack Theme</x:v>
      </x:c>
      <x:c r="C275" s="5" t="str">
        <x:v>Ethical Advisers</x:v>
      </x:c>
      <x:c r="D275" s="5" t="str">
        <x:v>Sector / industry theme</x:v>
      </x:c>
      <x:c r="E275" s="5" t="str">
        <x:v>Real estate, housing &amp; REITs</x:v>
      </x:c>
      <x:c r="F275" s="5" t="str">
        <x:v>Other / not specified</x:v>
      </x:c>
      <x:c r="G275" s="6" t="n">
        <x:v>129358</x:v>
      </x:c>
      <x:c r="H275" s="4" t="str">
        <x:v>High</x:v>
      </x:c>
      <x:c r="I275" s="4" t="str">
        <x:v>Fee based</x:v>
      </x:c>
      <x:c r="J275" s="6" t="n">
        <x:v>666</x:v>
      </x:c>
      <x:c r="K275" s="5" t="str">
        <x:v>A diversified portfolio of direct and indirect beneficiaries of housing demand resurgence</x:v>
      </x:c>
      <x:c r="L275" s="5" t="str">
        <x:v>Title and listing description</x:v>
      </x:c>
      <x:c r="M275" s="7" t="d">
        <x:v>2026-08-24T00:00:00.000Z</x:v>
      </x:c>
      <x:c r="N275" s="8" t="str">
        <x:v>https://www.smallcase.com/smallcase/housing-demand-resurgence-pack-EHANM_0015</x:v>
      </x:c>
      <x:c r="O275" s="4" t="str">
        <x:v>EHANM_0015</x:v>
      </x:c>
      <x:c r="P275" s="5" t="str"/>
    </x:row>
    <x:row r="276" ht="60" customHeight="1">
      <x:c r="A276" s="4" t="n">
        <x:v>271</x:v>
      </x:c>
      <x:c r="B276" s="5" t="str">
        <x:v>Smallcap Quant</x:v>
      </x:c>
      <x:c r="C276" s="5" t="str">
        <x:v>Quantace Research</x:v>
      </x:c>
      <x:c r="D276" s="5" t="str">
        <x:v>Diversified / strategy</x:v>
      </x:c>
      <x:c r="E276" s="5" t="str">
        <x:v>No specific industry mandate identified</x:v>
      </x:c>
      <x:c r="F276" s="5" t="str">
        <x:v>Quant / factor</x:v>
      </x:c>
      <x:c r="G276" s="6" t="n">
        <x:v>125410</x:v>
      </x:c>
      <x:c r="H276" s="4" t="str">
        <x:v>High</x:v>
      </x:c>
      <x:c r="I276" s="4" t="str">
        <x:v>Fee based</x:v>
      </x:c>
      <x:c r="J276" s="6" t="n">
        <x:v>700</x:v>
      </x:c>
      <x:c r="K276" s="5" t="str">
        <x:v>Discover Smallcap hidden gems carefully selected from the 251-500 Market Cap range. Rec. 5-20 Lakhs</x:v>
      </x:c>
      <x:c r="L276" s="5" t="str">
        <x:v>No sector tags assigned; see description</x:v>
      </x:c>
      <x:c r="M276" s="7" t="d">
        <x:v>2026-10-26T00:00:00.000Z</x:v>
      </x:c>
      <x:c r="N276" s="8" t="str">
        <x:v>https://www.smallcase.com/smallcase/nifty-500-micro-investment-QUREMO_0018</x:v>
      </x:c>
      <x:c r="O276" s="4" t="str">
        <x:v>QUREMO_0018</x:v>
      </x:c>
      <x:c r="P276" s="5" t="str">
        <x:v>Diversified; sector mandate not specified</x:v>
      </x:c>
    </x:row>
    <x:row r="277" ht="60" customHeight="1">
      <x:c r="A277" s="4" t="n">
        <x:v>272</x:v>
      </x:c>
      <x:c r="B277" s="5" t="str">
        <x:v>Large and Midcap Quant</x:v>
      </x:c>
      <x:c r="C277" s="5" t="str">
        <x:v>Quantace Research</x:v>
      </x:c>
      <x:c r="D277" s="5" t="str">
        <x:v>Diversified / strategy</x:v>
      </x:c>
      <x:c r="E277" s="5" t="str">
        <x:v>No specific industry mandate identified</x:v>
      </x:c>
      <x:c r="F277" s="5" t="str">
        <x:v>Quant / factor</x:v>
      </x:c>
      <x:c r="G277" s="6" t="n">
        <x:v>134938</x:v>
      </x:c>
      <x:c r="H277" s="4" t="str">
        <x:v>High</x:v>
      </x:c>
      <x:c r="I277" s="4" t="str">
        <x:v>Fee based</x:v>
      </x:c>
      <x:c r="J277" s="6" t="n">
        <x:v>700</x:v>
      </x:c>
      <x:c r="K277" s="5" t="str">
        <x:v>Blending large-cap stability with midcap growth. Reccomeded Amount 5-25 Lakhs</x:v>
      </x:c>
      <x:c r="L277" s="5" t="str">
        <x:v>No sector tags assigned; see description</x:v>
      </x:c>
      <x:c r="M277" s="7" t="d">
        <x:v>2026-10-26T00:00:00.000Z</x:v>
      </x:c>
      <x:c r="N277" s="8" t="str">
        <x:v>https://www.smallcase.com/smallcase/bluechip-micro-investment-QUREMO_0022</x:v>
      </x:c>
      <x:c r="O277" s="4" t="str">
        <x:v>QUREMO_0022</x:v>
      </x:c>
      <x:c r="P277" s="5" t="str">
        <x:v>Diversified; sector mandate not specified</x:v>
      </x:c>
    </x:row>
    <x:row r="278" ht="60" customHeight="1">
      <x:c r="A278" s="4" t="n">
        <x:v>273</x:v>
      </x:c>
      <x:c r="B278" s="5" t="str">
        <x:v>Omni Bullet Train - Great Indian Railways Theme</x:v>
      </x:c>
      <x:c r="C278" s="5" t="str">
        <x:v>Omniscience Capital</x:v>
      </x:c>
      <x:c r="D278" s="5" t="str">
        <x:v>Sector / industry theme</x:v>
      </x:c>
      <x:c r="E278" s="5" t="str">
        <x:v>Railways</x:v>
      </x:c>
      <x:c r="F278" s="5" t="str">
        <x:v>Other / not specified</x:v>
      </x:c>
      <x:c r="G278" s="6" t="n">
        <x:v>92504</x:v>
      </x:c>
      <x:c r="H278" s="4" t="str">
        <x:v>High</x:v>
      </x:c>
      <x:c r="I278" s="4" t="str">
        <x:v>Fee based</x:v>
      </x:c>
      <x:c r="J278" s="6" t="n">
        <x:v>1075</x:v>
      </x:c>
      <x:c r="K278" s="5" t="str">
        <x:v>Fast tracking India with Vande Bharat, Metro &amp; Bullet Trains.</x:v>
      </x:c>
      <x:c r="L278" s="5" t="str">
        <x:v>Title and listing description</x:v>
      </x:c>
      <x:c r="M278" s="7" t="d">
        <x:v>2026-09-17T00:00:00.000Z</x:v>
      </x:c>
      <x:c r="N278" s="8" t="str">
        <x:v>https://www.smallcase.com/smallcase/omni-bullet-train-OMNNM_0011</x:v>
      </x:c>
      <x:c r="O278" s="4" t="str">
        <x:v>OMNNM_0011</x:v>
      </x:c>
      <x:c r="P278" s="5" t="str"/>
    </x:row>
    <x:row r="279" ht="60" customHeight="1">
      <x:c r="A279" s="4" t="n">
        <x:v>274</x:v>
      </x:c>
      <x:c r="B279" s="5" t="str">
        <x:v>Omni LargeCap Royals Fundamental</x:v>
      </x:c>
      <x:c r="C279" s="5" t="str">
        <x:v>Omniscience Capital</x:v>
      </x:c>
      <x:c r="D279" s="5" t="str">
        <x:v>Diversified / strategy</x:v>
      </x:c>
      <x:c r="E279" s="5" t="str">
        <x:v>No specific industry mandate identified</x:v>
      </x:c>
      <x:c r="F279" s="5" t="str">
        <x:v>Fundamental / growth / quality</x:v>
      </x:c>
      <x:c r="G279" s="6" t="n">
        <x:v>250000</x:v>
      </x:c>
      <x:c r="H279" s="4" t="str">
        <x:v>High</x:v>
      </x:c>
      <x:c r="I279" s="4" t="str">
        <x:v>Fee based</x:v>
      </x:c>
      <x:c r="J279" s="6" t="n">
        <x:v>2458</x:v>
      </x:c>
      <x:c r="K279" s="5" t="str">
        <x:v>Dominant leaders capitalizing on 'India Transformed 2030' growth.</x:v>
      </x:c>
      <x:c r="L279" s="5" t="str">
        <x:v>No sector tags assigned; see description</x:v>
      </x:c>
      <x:c r="M279" s="7" t="d">
        <x:v>2026-09-17T00:00:00.000Z</x:v>
      </x:c>
      <x:c r="N279" s="8" t="str">
        <x:v>https://www.smallcase.com/smallcase/omni-royals-supernormal-largecap-sip-OMNMO_0019</x:v>
      </x:c>
      <x:c r="O279" s="4" t="str">
        <x:v>OMNMO_0019</x:v>
      </x:c>
      <x:c r="P279" s="5" t="str">
        <x:v>Diversified; sector mandate not specified</x:v>
      </x:c>
    </x:row>
    <x:row r="280" ht="60" customHeight="1">
      <x:c r="A280" s="4" t="n">
        <x:v>275</x:v>
      </x:c>
      <x:c r="B280" s="5" t="str">
        <x:v>Midcap Leaders Fundamental</x:v>
      </x:c>
      <x:c r="C280" s="5" t="str">
        <x:v>stockbox</x:v>
      </x:c>
      <x:c r="D280" s="5" t="str">
        <x:v>Diversified / strategy</x:v>
      </x:c>
      <x:c r="E280" s="5" t="str">
        <x:v>No specific industry mandate identified</x:v>
      </x:c>
      <x:c r="F280" s="5" t="str">
        <x:v>Value / contrarian</x:v>
      </x:c>
      <x:c r="G280" s="6" t="n">
        <x:v>38064</x:v>
      </x:c>
      <x:c r="H280" s="4" t="str">
        <x:v>High</x:v>
      </x:c>
      <x:c r="I280" s="4" t="str">
        <x:v>Fee based</x:v>
      </x:c>
      <x:c r="J280" s="6" t="n">
        <x:v>491</x:v>
      </x:c>
      <x:c r="K280" s="5" t="str">
        <x:v>Undervalued midcap stocks for long term</x:v>
      </x:c>
      <x:c r="L280" s="5" t="str">
        <x:v>No sector tags assigned; see description</x:v>
      </x:c>
      <x:c r="M280" s="7" t="d">
        <x:v>2026-08-31T00:00:00.000Z</x:v>
      </x:c>
      <x:c r="N280" s="8" t="str">
        <x:v>https://www.smallcase.com/smallcase/midcap-leaders-STBXNM_0003</x:v>
      </x:c>
      <x:c r="O280" s="4" t="str">
        <x:v>STBXNM_0003</x:v>
      </x:c>
      <x:c r="P280" s="5" t="str">
        <x:v>Diversified; sector mandate not specified</x:v>
      </x:c>
    </x:row>
    <x:row r="281" ht="60" customHeight="1">
      <x:c r="A281" s="4" t="n">
        <x:v>276</x:v>
      </x:c>
      <x:c r="B281" s="5" t="str">
        <x:v>Omni Power - Electrifying India Theme</x:v>
      </x:c>
      <x:c r="C281" s="5" t="str">
        <x:v>Omniscience Capital</x:v>
      </x:c>
      <x:c r="D281" s="5" t="str">
        <x:v>Sector / industry theme</x:v>
      </x:c>
      <x:c r="E281" s="5" t="str">
        <x:v>Power, utilities &amp; energy</x:v>
      </x:c>
      <x:c r="F281" s="5" t="str">
        <x:v>Other / not specified</x:v>
      </x:c>
      <x:c r="G281" s="6" t="n">
        <x:v>82071</x:v>
      </x:c>
      <x:c r="H281" s="4" t="str">
        <x:v>High</x:v>
      </x:c>
      <x:c r="I281" s="4" t="str">
        <x:v>Fee based</x:v>
      </x:c>
      <x:c r="J281" s="6" t="n">
        <x:v>1075</x:v>
      </x:c>
      <x:c r="K281" s="5" t="str">
        <x:v>Portfolio of companies Empowering every Indian household.</x:v>
      </x:c>
      <x:c r="L281" s="5" t="str">
        <x:v>Title and listing description</x:v>
      </x:c>
      <x:c r="M281" s="7" t="d">
        <x:v>2026-09-17T00:00:00.000Z</x:v>
      </x:c>
      <x:c r="N281" s="8" t="str">
        <x:v>https://www.smallcase.com/smallcase/omni-power-electrifying-india-OMNNM_0013</x:v>
      </x:c>
      <x:c r="O281" s="4" t="str">
        <x:v>OMNNM_0013</x:v>
      </x:c>
      <x:c r="P281" s="5" t="str"/>
    </x:row>
    <x:row r="282" ht="60" customHeight="1">
      <x:c r="A282" s="4" t="n">
        <x:v>277</x:v>
      </x:c>
      <x:c r="B282" s="5" t="str">
        <x:v>India Tech Titans Theme</x:v>
      </x:c>
      <x:c r="C282" s="5" t="str">
        <x:v>Ethical Advisers</x:v>
      </x:c>
      <x:c r="D282" s="5" t="str">
        <x:v>Sector / industry theme</x:v>
      </x:c>
      <x:c r="E282" s="5" t="str">
        <x:v>IT, software &amp; digital platforms</x:v>
      </x:c>
      <x:c r="F282" s="5" t="str">
        <x:v>Other / not specified</x:v>
      </x:c>
      <x:c r="G282" s="6" t="n">
        <x:v>223646</x:v>
      </x:c>
      <x:c r="H282" s="4" t="str">
        <x:v>High</x:v>
      </x:c>
      <x:c r="I282" s="4" t="str">
        <x:v>Fee based</x:v>
      </x:c>
      <x:c r="J282" s="6" t="n">
        <x:v>708</x:v>
      </x:c>
      <x:c r="K282" s="5" t="str">
        <x:v>An intelligent mix of India's choicest technology companies</x:v>
      </x:c>
      <x:c r="L282" s="5" t="str">
        <x:v>Title and listing description</x:v>
      </x:c>
      <x:c r="M282" s="7" t="d">
        <x:v>2026-08-24T00:00:00.000Z</x:v>
      </x:c>
      <x:c r="N282" s="8" t="str">
        <x:v>https://www.smallcase.com/smallcase/india's-tech-titans-EHANM_0020</x:v>
      </x:c>
      <x:c r="O282" s="4" t="str">
        <x:v>EHANM_0020</x:v>
      </x:c>
      <x:c r="P282" s="5" t="str"/>
    </x:row>
    <x:row r="283" ht="60" customHeight="1">
      <x:c r="A283" s="4" t="n">
        <x:v>279</x:v>
      </x:c>
      <x:c r="B283" s="5" t="str">
        <x:v>Omni AI-Tech Global-Artificial Intelligence Theme</x:v>
      </x:c>
      <x:c r="C283" s="5" t="str">
        <x:v>Omniscience Capital</x:v>
      </x:c>
      <x:c r="D283" s="5" t="str">
        <x:v>Sector / industry theme</x:v>
      </x:c>
      <x:c r="E283" s="5" t="str">
        <x:v>AI, data centres &amp; digital infrastructure</x:v>
      </x:c>
      <x:c r="F283" s="5" t="str">
        <x:v>Other / not specified</x:v>
      </x:c>
      <x:c r="G283" s="6" t="n">
        <x:v>250000</x:v>
      </x:c>
      <x:c r="H283" s="4" t="str">
        <x:v>High</x:v>
      </x:c>
      <x:c r="I283" s="4" t="str">
        <x:v>Fee based</x:v>
      </x:c>
      <x:c r="J283" s="6" t="n">
        <x:v>2158</x:v>
      </x:c>
      <x:c r="K283" s="5" t="str">
        <x:v>Global Artificial Intelligence ecosystem.</x:v>
      </x:c>
      <x:c r="L283" s="5" t="str">
        <x:v>Title and listing description</x:v>
      </x:c>
      <x:c r="M283" s="7" t="d">
        <x:v>2026-09-17T00:00:00.000Z</x:v>
      </x:c>
      <x:c r="N283" s="8" t="str">
        <x:v>https://www.smallcase.com/smallcase/omni-ai-tech-global-artificial-intelligence-OMNNM_0014</x:v>
      </x:c>
      <x:c r="O283" s="4" t="str">
        <x:v>OMNNM_0014</x:v>
      </x:c>
      <x:c r="P283" s="5" t="str"/>
    </x:row>
    <x:row r="284" ht="60" customHeight="1">
      <x:c r="A284" s="4" t="n">
        <x:v>281</x:v>
      </x:c>
      <x:c r="B284" s="5" t="str">
        <x:v>Alpha and Low Volatility Dual Model</x:v>
      </x:c>
      <x:c r="C284" s="5" t="str">
        <x:v>Quantace Research</x:v>
      </x:c>
      <x:c r="D284" s="5" t="str">
        <x:v>Diversified / strategy</x:v>
      </x:c>
      <x:c r="E284" s="5" t="str">
        <x:v>No specific industry mandate identified</x:v>
      </x:c>
      <x:c r="F284" s="5" t="str">
        <x:v>Quant / factor</x:v>
      </x:c>
      <x:c r="G284" s="6" t="n">
        <x:v>44697</x:v>
      </x:c>
      <x:c r="H284" s="4" t="str">
        <x:v>Medium</x:v>
      </x:c>
      <x:c r="I284" s="4" t="str">
        <x:v>Fee based</x:v>
      </x:c>
      <x:c r="J284" s="6" t="n">
        <x:v>675</x:v>
      </x:c>
      <x:c r="K284" s="5" t="str">
        <x:v>A strategic blend of two powerful factors: Alpha for Returns &amp; Low Volatility for Stability</x:v>
      </x:c>
      <x:c r="L284" s="5" t="str">
        <x:v>No sector tags assigned; see description</x:v>
      </x:c>
      <x:c r="M284" s="7" t="d">
        <x:v>2026-10-26T00:00:00.000Z</x:v>
      </x:c>
      <x:c r="N284" s="8" t="str">
        <x:v>https://www.smallcase.com/smallcase/multi-factor-alpha-low-volatility-QUREMO_0026</x:v>
      </x:c>
      <x:c r="O284" s="4" t="str">
        <x:v>QUREMO_0026</x:v>
      </x:c>
      <x:c r="P284" s="5" t="str">
        <x:v>Diversified; sector mandate not specified</x:v>
      </x:c>
    </x:row>
    <x:row r="285" ht="60" customHeight="1">
      <x:c r="A285" s="4" t="n">
        <x:v>282</x:v>
      </x:c>
      <x:c r="B285" s="5" t="str">
        <x:v>The Wisdom Equal Model</x:v>
      </x:c>
      <x:c r="C285" s="5" t="str">
        <x:v>SolomonInvestments </x:v>
      </x:c>
      <x:c r="D285" s="5" t="str">
        <x:v>Diversified / strategy</x:v>
      </x:c>
      <x:c r="E285" s="5" t="str">
        <x:v>No specific industry mandate identified</x:v>
      </x:c>
      <x:c r="F285" s="5" t="str">
        <x:v>Value / contrarian</x:v>
      </x:c>
      <x:c r="G285" s="6" t="n">
        <x:v>52778</x:v>
      </x:c>
      <x:c r="H285" s="4" t="str">
        <x:v>High</x:v>
      </x:c>
      <x:c r="I285" s="4" t="str">
        <x:v>Fee based</x:v>
      </x:c>
      <x:c r="J285" s="6" t="n">
        <x:v>558</x:v>
      </x:c>
      <x:c r="K285" s="5" t="str">
        <x:v>Equal- Weighted Portfolio of stocks, primarily focusing on Value and Growth factors.</x:v>
      </x:c>
      <x:c r="L285" s="5" t="str">
        <x:v>No sector tags assigned; see description</x:v>
      </x:c>
      <x:c r="M285" s="7" t="d">
        <x:v>2026-09-03T00:00:00.000Z</x:v>
      </x:c>
      <x:c r="N285" s="8" t="str">
        <x:v>https://www.smallcase.com/smallcase/the-wisdom-portfolio-SOLMO_0001</x:v>
      </x:c>
      <x:c r="O285" s="4" t="str">
        <x:v>SOLMO_0001</x:v>
      </x:c>
      <x:c r="P285" s="5" t="str">
        <x:v>Diversified; sector mandate not specified</x:v>
      </x:c>
    </x:row>
    <x:row r="286" ht="60" customHeight="1">
      <x:c r="A286" s="4" t="n">
        <x:v>283</x:v>
      </x:c>
      <x:c r="B286" s="5" t="str">
        <x:v>Value Factor Model</x:v>
      </x:c>
      <x:c r="C286" s="5" t="str">
        <x:v>Quantace Research</x:v>
      </x:c>
      <x:c r="D286" s="5" t="str">
        <x:v>Diversified / strategy</x:v>
      </x:c>
      <x:c r="E286" s="5" t="str">
        <x:v>No specific industry mandate identified</x:v>
      </x:c>
      <x:c r="F286" s="5" t="str">
        <x:v>Value / contrarian</x:v>
      </x:c>
      <x:c r="G286" s="6" t="n">
        <x:v>28483</x:v>
      </x:c>
      <x:c r="H286" s="4" t="str">
        <x:v>High</x:v>
      </x:c>
      <x:c r="I286" s="4" t="str">
        <x:v>Fee based</x:v>
      </x:c>
      <x:c r="J286" s="6" t="n">
        <x:v>675</x:v>
      </x:c>
      <x:c r="K286" s="5" t="str">
        <x:v>Value Basket desined by Quantace</x:v>
      </x:c>
      <x:c r="L286" s="5" t="str">
        <x:v>No sector tags assigned; see description</x:v>
      </x:c>
      <x:c r="M286" s="7" t="d">
        <x:v>2026-10-26T00:00:00.000Z</x:v>
      </x:c>
      <x:c r="N286" s="8" t="str">
        <x:v>https://www.smallcase.com/smallcase/ace-value-factor-QUREMO_0029</x:v>
      </x:c>
      <x:c r="O286" s="4" t="str">
        <x:v>QUREMO_0029</x:v>
      </x:c>
      <x:c r="P286" s="5" t="str">
        <x:v>Diversified; sector mandate not specified</x:v>
      </x:c>
    </x:row>
    <x:row r="287" ht="60" customHeight="1">
      <x:c r="A287" s="4" t="n">
        <x:v>284</x:v>
      </x:c>
      <x:c r="B287" s="5" t="str">
        <x:v>Pollution Free India - EV Theme</x:v>
      </x:c>
      <x:c r="C287" s="5" t="str">
        <x:v>stockbox</x:v>
      </x:c>
      <x:c r="D287" s="5" t="str">
        <x:v>Sector / industry theme</x:v>
      </x:c>
      <x:c r="E287" s="5" t="str">
        <x:v>Automobiles, EVs &amp; components</x:v>
      </x:c>
      <x:c r="F287" s="5" t="str">
        <x:v>Other / not specified</x:v>
      </x:c>
      <x:c r="G287" s="6" t="n">
        <x:v>43482</x:v>
      </x:c>
      <x:c r="H287" s="4" t="str">
        <x:v>High</x:v>
      </x:c>
      <x:c r="I287" s="4" t="str">
        <x:v>Fee based</x:v>
      </x:c>
      <x:c r="J287" s="6" t="n">
        <x:v>491</x:v>
      </x:c>
      <x:c r="K287" s="5" t="str">
        <x:v>Long term wealth creation with environment friendly.</x:v>
      </x:c>
      <x:c r="L287" s="5" t="str">
        <x:v>Title and listing description</x:v>
      </x:c>
      <x:c r="M287" s="7" t="d">
        <x:v>2026-07-20T00:00:00.000Z</x:v>
      </x:c>
      <x:c r="N287" s="8" t="str">
        <x:v>https://www.smallcase.com/smallcase/pollution-free-india-(ev)-STBXTR_0001</x:v>
      </x:c>
      <x:c r="O287" s="4" t="str">
        <x:v>STBXTR_0001</x:v>
      </x:c>
      <x:c r="P287" s="5" t="str"/>
    </x:row>
    <x:row r="288" ht="60" customHeight="1">
      <x:c r="A288" s="4" t="n">
        <x:v>285</x:v>
      </x:c>
      <x:c r="B288" s="5" t="str">
        <x:v>GVSR - Share Market Services Theme Theme</x:v>
      </x:c>
      <x:c r="C288" s="5" t="str">
        <x:v>GVSRwealth</x:v>
      </x:c>
      <x:c r="D288" s="5" t="str">
        <x:v>Sector / industry theme</x:v>
      </x:c>
      <x:c r="E288" s="5" t="str">
        <x:v>Capital markets &amp; wealth management</x:v>
      </x:c>
      <x:c r="F288" s="5" t="str">
        <x:v>Value / contrarian</x:v>
      </x:c>
      <x:c r="G288" s="6" t="n">
        <x:v>20000</x:v>
      </x:c>
      <x:c r="H288" s="4" t="str">
        <x:v>High</x:v>
      </x:c>
      <x:c r="I288" s="4" t="str">
        <x:v>Fee based</x:v>
      </x:c>
      <x:c r="J288" s="6" t="n">
        <x:v>1233</x:v>
      </x:c>
      <x:c r="K288" s="5" t="str">
        <x:v>Value (V) buys amongst 'Stock Broking' Firms in India.</x:v>
      </x:c>
      <x:c r="L288" s="5" t="str">
        <x:v>Title and listing description</x:v>
      </x:c>
      <x:c r="M288" s="7" t="d">
        <x:v>2026-04-23T00:00:00.000Z</x:v>
      </x:c>
      <x:c r="N288" s="8" t="str">
        <x:v>https://www.smallcase.com/smallcase/gvsr-share-market-services-theme-GVSRNM_0004</x:v>
      </x:c>
      <x:c r="O288" s="4" t="str">
        <x:v>GVSRNM_0004</x:v>
      </x:c>
      <x:c r="P288" s="5" t="str"/>
    </x:row>
    <x:row r="289" ht="60" customHeight="1">
      <x:c r="A289" s="4" t="n">
        <x:v>286</x:v>
      </x:c>
      <x:c r="B289" s="5" t="str">
        <x:v>smartvalues - infrastructure Theme</x:v>
      </x:c>
      <x:c r="C289" s="5" t="str">
        <x:v>Lamron Analysts</x:v>
      </x:c>
      <x:c r="D289" s="5" t="str">
        <x:v>Sector / industry theme</x:v>
      </x:c>
      <x:c r="E289" s="5" t="str">
        <x:v>Infrastructure &amp; construction</x:v>
      </x:c>
      <x:c r="F289" s="5" t="str">
        <x:v>Value / contrarian</x:v>
      </x:c>
      <x:c r="G289" s="6" t="n">
        <x:v>194727</x:v>
      </x:c>
      <x:c r="H289" s="4" t="str">
        <x:v>High</x:v>
      </x:c>
      <x:c r="I289" s="4" t="str">
        <x:v>Fee based</x:v>
      </x:c>
      <x:c r="J289" s="6" t="n">
        <x:v>595</x:v>
      </x:c>
      <x:c r="K289" s="5" t="str">
        <x:v>Infrastructure Powerhouse: 10 Stocks Positioned to Capture India’s Next Decade of Growth</x:v>
      </x:c>
      <x:c r="L289" s="5" t="str">
        <x:v>Title and listing description</x:v>
      </x:c>
      <x:c r="M289" s="7" t="d">
        <x:v>2026-09-08T00:00:00.000Z</x:v>
      </x:c>
      <x:c r="N289" s="8" t="str">
        <x:v>https://www.smallcase.com/smallcase/smartvalues-infrastructure-LMRMO_0012</x:v>
      </x:c>
      <x:c r="O289" s="4" t="str">
        <x:v>LMRMO_0012</x:v>
      </x:c>
      <x:c r="P289" s="5" t="str"/>
    </x:row>
    <x:row r="290" ht="60" customHeight="1">
      <x:c r="A290" s="4" t="n">
        <x:v>287</x:v>
      </x:c>
      <x:c r="B290" s="5" t="str">
        <x:v>Omni Capital Enablers. Theme</x:v>
      </x:c>
      <x:c r="C290" s="5" t="str">
        <x:v>Omniscience Capital</x:v>
      </x:c>
      <x:c r="D290" s="5" t="str">
        <x:v>Sector / industry theme</x:v>
      </x:c>
      <x:c r="E290" s="5" t="str">
        <x:v>Financial services &amp; fintech; Infrastructure &amp; construction</x:v>
      </x:c>
      <x:c r="F290" s="5" t="str">
        <x:v>Other / not specified</x:v>
      </x:c>
      <x:c r="G290" s="6" t="n">
        <x:v>98370</x:v>
      </x:c>
      <x:c r="H290" s="4" t="str">
        <x:v>High</x:v>
      </x:c>
      <x:c r="I290" s="4" t="str">
        <x:v>Fee based</x:v>
      </x:c>
      <x:c r="J290" s="6" t="n">
        <x:v>1075</x:v>
      </x:c>
      <x:c r="K290" s="5" t="str">
        <x:v>Capital providers &amp; enablers for large infrastructure development.</x:v>
      </x:c>
      <x:c r="L290" s="5" t="str">
        <x:v>Title and listing description</x:v>
      </x:c>
      <x:c r="M290" s="7" t="d">
        <x:v>2026-09-17T00:00:00.000Z</x:v>
      </x:c>
      <x:c r="N290" s="8" t="str">
        <x:v>https://www.smallcase.com/smallcase/omni-capital-enablers-OMNNM_0018</x:v>
      </x:c>
      <x:c r="O290" s="4" t="str">
        <x:v>OMNNM_0018</x:v>
      </x:c>
      <x:c r="P290" s="5" t="str"/>
    </x:row>
    <x:row r="291" ht="60" customHeight="1">
      <x:c r="A291" s="4" t="n">
        <x:v>288</x:v>
      </x:c>
      <x:c r="B291" s="5" t="str">
        <x:v>Sustainable Compounders Fundamental</x:v>
      </x:c>
      <x:c r="C291" s="5" t="str">
        <x:v>Compound Everyday Capital</x:v>
      </x:c>
      <x:c r="D291" s="5" t="str">
        <x:v>Diversified / strategy</x:v>
      </x:c>
      <x:c r="E291" s="5" t="str">
        <x:v>No specific industry mandate identified</x:v>
      </x:c>
      <x:c r="F291" s="5" t="str">
        <x:v>Fundamental / growth / quality</x:v>
      </x:c>
      <x:c r="G291" s="6" t="n">
        <x:v>98761</x:v>
      </x:c>
      <x:c r="H291" s="4" t="str">
        <x:v>Medium</x:v>
      </x:c>
      <x:c r="I291" s="4" t="str">
        <x:v>Fee based</x:v>
      </x:c>
      <x:c r="J291" s="6" t="n">
        <x:v>885</x:v>
      </x:c>
      <x:c r="K291" s="5" t="str">
        <x:v>A portfolio of reasonably priced good quality equity shares and liquid ETF for sustainable returns</x:v>
      </x:c>
      <x:c r="L291" s="5" t="str">
        <x:v>No sector tags assigned; see description</x:v>
      </x:c>
      <x:c r="M291" s="7" t="d">
        <x:v>2026-09-08T00:00:00.000Z</x:v>
      </x:c>
      <x:c r="N291" s="8" t="str">
        <x:v>https://www.smallcase.com/smallcase/sustainable-compounders-CEDMO_0001</x:v>
      </x:c>
      <x:c r="O291" s="4" t="str">
        <x:v>CEDMO_0001</x:v>
      </x:c>
      <x:c r="P291" s="5" t="str">
        <x:v>Diversified; sector mandate not specified</x:v>
      </x:c>
    </x:row>
    <x:row r="292" ht="60" customHeight="1">
      <x:c r="A292" s="4" t="n">
        <x:v>289</x:v>
      </x:c>
      <x:c r="B292" s="5" t="str">
        <x:v>Long Term Equity Fundamental</x:v>
      </x:c>
      <x:c r="C292" s="5" t="str">
        <x:v>Intelsense</x:v>
      </x:c>
      <x:c r="D292" s="5" t="str">
        <x:v>Diversified / strategy</x:v>
      </x:c>
      <x:c r="E292" s="5" t="str">
        <x:v>No specific industry mandate identified</x:v>
      </x:c>
      <x:c r="F292" s="5" t="str">
        <x:v>Fundamental / growth / quality</x:v>
      </x:c>
      <x:c r="G292" s="6" t="n">
        <x:v>500000</x:v>
      </x:c>
      <x:c r="H292" s="4" t="str">
        <x:v>High</x:v>
      </x:c>
      <x:c r="I292" s="4" t="str">
        <x:v>Not shown</x:v>
      </x:c>
      <x:c r="J292" s="6"/>
      <x:c r="K292" s="5" t="str">
        <x:v>Strong compounding stocks make the core of the portfolio with a few opportunistic ideas thrown in.</x:v>
      </x:c>
      <x:c r="L292" s="5" t="str">
        <x:v>No sector tags assigned; see description</x:v>
      </x:c>
      <x:c r="M292" s="7" t="d">
        <x:v>2026-10-26T00:00:00.000Z</x:v>
      </x:c>
      <x:c r="N292" s="8" t="str">
        <x:v>https://www.smallcase.com/smallcase/wealth-accumulation-portfolio-INSMO_0007</x:v>
      </x:c>
      <x:c r="O292" s="4" t="str">
        <x:v>INSMO_0007</x:v>
      </x:c>
      <x:c r="P292" s="5" t="str">
        <x:v>Diversified; sector mandate not specified</x:v>
      </x:c>
    </x:row>
    <x:row r="293" ht="60" customHeight="1">
      <x:c r="A293" s="4" t="n">
        <x:v>290</x:v>
      </x:c>
      <x:c r="B293" s="5" t="str">
        <x:v>Omni Future of Mobility. Theme</x:v>
      </x:c>
      <x:c r="C293" s="5" t="str">
        <x:v>Omniscience Capital</x:v>
      </x:c>
      <x:c r="D293" s="5" t="str">
        <x:v>Sector / industry theme</x:v>
      </x:c>
      <x:c r="E293" s="5" t="str">
        <x:v>Automobiles, EVs &amp; components; Railways; Logistics, transport &amp; aviation</x:v>
      </x:c>
      <x:c r="F293" s="5" t="str">
        <x:v>Other / not specified</x:v>
      </x:c>
      <x:c r="G293" s="6" t="n">
        <x:v>250000</x:v>
      </x:c>
      <x:c r="H293" s="4" t="str">
        <x:v>High</x:v>
      </x:c>
      <x:c r="I293" s="4" t="str">
        <x:v>Fee based</x:v>
      </x:c>
      <x:c r="J293" s="6" t="n">
        <x:v>2158</x:v>
      </x:c>
      <x:c r="K293" s="5" t="str">
        <x:v>EVs, Bullet Trains, Multi-modal Logistics, Aviation &amp; Waterways.</x:v>
      </x:c>
      <x:c r="L293" s="5" t="str">
        <x:v>Title and listing description</x:v>
      </x:c>
      <x:c r="M293" s="7" t="d">
        <x:v>2026-09-17T00:00:00.000Z</x:v>
      </x:c>
      <x:c r="N293" s="8" t="str">
        <x:v>https://www.smallcase.com/smallcase/omni-future-of-mobility-OMNNM_0019</x:v>
      </x:c>
      <x:c r="O293" s="4" t="str">
        <x:v>OMNNM_0019</x:v>
      </x:c>
      <x:c r="P293" s="5" t="str"/>
    </x:row>
    <x:row r="294" ht="60" customHeight="1">
      <x:c r="A294" s="4" t="n">
        <x:v>291</x:v>
      </x:c>
      <x:c r="B294" s="5" t="str">
        <x:v>MMG Smallcase Momentum Model</x:v>
      </x:c>
      <x:c r="C294" s="5" t="str">
        <x:v>My Money Guru</x:v>
      </x:c>
      <x:c r="D294" s="5" t="str">
        <x:v>Diversified / strategy</x:v>
      </x:c>
      <x:c r="E294" s="5" t="str">
        <x:v>No specific industry mandate identified</x:v>
      </x:c>
      <x:c r="F294" s="5" t="str">
        <x:v>Momentum / trend</x:v>
      </x:c>
      <x:c r="G294" s="6" t="n">
        <x:v>270857</x:v>
      </x:c>
      <x:c r="H294" s="4" t="str">
        <x:v>High</x:v>
      </x:c>
      <x:c r="I294" s="4" t="str">
        <x:v>Fee based</x:v>
      </x:c>
      <x:c r="J294" s="6" t="n">
        <x:v>5405</x:v>
      </x:c>
      <x:c r="K294" s="5" t="str">
        <x:v>Capitalize on trends with a high-conviction, alpha-seeking momentum strategy for growth and returns.</x:v>
      </x:c>
      <x:c r="L294" s="5" t="str">
        <x:v>No sector tags assigned; see description</x:v>
      </x:c>
      <x:c r="M294" s="7" t="d">
        <x:v>2026-09-29T00:00:00.000Z</x:v>
      </x:c>
      <x:c r="N294" s="8" t="str">
        <x:v>https://www.smallcase.com/smallcase/my-money-guru-momentum-MYMOMO_0002</x:v>
      </x:c>
      <x:c r="O294" s="4" t="str">
        <x:v>MYMOMO_0002</x:v>
      </x:c>
      <x:c r="P294" s="5" t="str">
        <x:v>Diversified; sector mandate not specified</x:v>
      </x:c>
    </x:row>
    <x:row r="295" ht="60" customHeight="1">
      <x:c r="A295" s="4" t="n">
        <x:v>292</x:v>
      </x:c>
      <x:c r="B295" s="5" t="str">
        <x:v>Mi30 Momentum Model</x:v>
      </x:c>
      <x:c r="C295" s="5" t="str">
        <x:v>Weekend Investing</x:v>
      </x:c>
      <x:c r="D295" s="5" t="str">
        <x:v>Diversified / strategy</x:v>
      </x:c>
      <x:c r="E295" s="5" t="str">
        <x:v>No specific industry mandate identified</x:v>
      </x:c>
      <x:c r="F295" s="5" t="str">
        <x:v>Momentum / trend</x:v>
      </x:c>
      <x:c r="G295" s="6" t="n">
        <x:v>285842</x:v>
      </x:c>
      <x:c r="H295" s="4" t="str">
        <x:v>Medium</x:v>
      </x:c>
      <x:c r="I295" s="4" t="str">
        <x:v>Fee based</x:v>
      </x:c>
      <x:c r="J295" s="6" t="n">
        <x:v>2950</x:v>
      </x:c>
      <x:c r="K295" s="5" t="str">
        <x:v>Steady compounder | Portfolio of upto 33 CNX500 stocks | Suits HNIs | Weekly Rebalanced</x:v>
      </x:c>
      <x:c r="L295" s="5" t="str">
        <x:v>No sector tags assigned; see description</x:v>
      </x:c>
      <x:c r="M295" s="7" t="d">
        <x:v>2026-10-26T00:00:00.000Z</x:v>
      </x:c>
      <x:c r="N295" s="8" t="str">
        <x:v>https://www.smallcase.com/smallcase/mi30-WKIMO_0010</x:v>
      </x:c>
      <x:c r="O295" s="4" t="str">
        <x:v>WKIMO_0010</x:v>
      </x:c>
      <x:c r="P295" s="5" t="str">
        <x:v>Diversified; sector mandate not specified</x:v>
      </x:c>
    </x:row>
    <x:row r="296" ht="60" customHeight="1">
      <x:c r="A296" s="4" t="n">
        <x:v>293</x:v>
      </x:c>
      <x:c r="B296" s="5" t="str">
        <x:v>CWA Fantastic 50 Quant</x:v>
      </x:c>
      <x:c r="C296" s="5" t="str">
        <x:v>Compounding Wealth Advisors</x:v>
      </x:c>
      <x:c r="D296" s="5" t="str">
        <x:v>Diversified / strategy</x:v>
      </x:c>
      <x:c r="E296" s="5" t="str">
        <x:v>No specific industry mandate identified</x:v>
      </x:c>
      <x:c r="F296" s="5" t="str">
        <x:v>Quant / factor</x:v>
      </x:c>
      <x:c r="G296" s="6" t="n">
        <x:v>471990</x:v>
      </x:c>
      <x:c r="H296" s="4" t="str">
        <x:v>Medium</x:v>
      </x:c>
      <x:c r="I296" s="4" t="str">
        <x:v>Fee based</x:v>
      </x:c>
      <x:c r="J296" s="6" t="n">
        <x:v>983</x:v>
      </x:c>
      <x:c r="K296" s="5" t="str">
        <x:v>Diversified Systematic Investing in trending &amp; outperforming stocks frm Nifty 500 Rcmd amt : 5-15lac</x:v>
      </x:c>
      <x:c r="L296" s="5" t="str">
        <x:v>No sector tags assigned; see description</x:v>
      </x:c>
      <x:c r="M296" s="7" t="d">
        <x:v>2026-10-26T00:00:00.000Z</x:v>
      </x:c>
      <x:c r="N296" s="8" t="str">
        <x:v>https://www.smallcase.com/smallcase/cwa-fantastic-50-COWAMO_0005</x:v>
      </x:c>
      <x:c r="O296" s="4" t="str">
        <x:v>COWAMO_0005</x:v>
      </x:c>
      <x:c r="P296" s="5" t="str">
        <x:v>Diversified; sector mandate not specified</x:v>
      </x:c>
    </x:row>
    <x:row r="297" ht="60" customHeight="1">
      <x:c r="A297" s="4" t="n">
        <x:v>294</x:v>
      </x:c>
      <x:c r="B297" s="5" t="str">
        <x:v>CWA Multi-Cap Momentum Gladiators Quant</x:v>
      </x:c>
      <x:c r="C297" s="5" t="str">
        <x:v>Compounding Wealth Advisors</x:v>
      </x:c>
      <x:c r="D297" s="5" t="str">
        <x:v>Diversified / strategy</x:v>
      </x:c>
      <x:c r="E297" s="5" t="str">
        <x:v>No specific industry mandate identified</x:v>
      </x:c>
      <x:c r="F297" s="5" t="str">
        <x:v>Momentum / trend</x:v>
      </x:c>
      <x:c r="G297" s="6" t="n">
        <x:v>91697</x:v>
      </x:c>
      <x:c r="H297" s="4" t="str">
        <x:v>High</x:v>
      </x:c>
      <x:c r="I297" s="4" t="str">
        <x:v>Fee based</x:v>
      </x:c>
      <x:c r="J297" s="6" t="n">
        <x:v>983</x:v>
      </x:c>
      <x:c r="K297" s="5" t="str">
        <x:v>Quantitative Investing in strong momentum and trending multicap outperformers. Recmd invt. 5-15 lac</x:v>
      </x:c>
      <x:c r="L297" s="5" t="str">
        <x:v>No sector tags assigned; see description</x:v>
      </x:c>
      <x:c r="M297" s="7" t="d">
        <x:v>2026-10-26T00:00:00.000Z</x:v>
      </x:c>
      <x:c r="N297" s="8" t="str">
        <x:v>https://www.smallcase.com/smallcase/cwa-multi-cap-momentum-gladiators-COWAMO_0006</x:v>
      </x:c>
      <x:c r="O297" s="4" t="str">
        <x:v>COWAMO_0006</x:v>
      </x:c>
      <x:c r="P297" s="5" t="str">
        <x:v>Diversified; sector mandate not specified</x:v>
      </x:c>
    </x:row>
    <x:row r="298" ht="60" customHeight="1">
      <x:c r="A298" s="4" t="n">
        <x:v>295</x:v>
      </x:c>
      <x:c r="B298" s="5" t="str">
        <x:v>SUBH STAYVAN Model</x:v>
      </x:c>
      <x:c r="C298" s="5" t="str">
        <x:v>Stayvan</x:v>
      </x:c>
      <x:c r="D298" s="5" t="str">
        <x:v>Diversified / strategy</x:v>
      </x:c>
      <x:c r="E298" s="5" t="str">
        <x:v>No specific industry mandate identified</x:v>
      </x:c>
      <x:c r="F298" s="5" t="str">
        <x:v>Fundamental / growth / quality</x:v>
      </x:c>
      <x:c r="G298" s="6" t="n">
        <x:v>1129472</x:v>
      </x:c>
      <x:c r="H298" s="4" t="str">
        <x:v>Medium</x:v>
      </x:c>
      <x:c r="I298" s="4" t="str">
        <x:v>Fee based</x:v>
      </x:c>
      <x:c r="J298" s="6" t="n">
        <x:v>499</x:v>
      </x:c>
      <x:c r="K298" s="5" t="str">
        <x:v>SIP buying, structured exits, capital compounding strategy and equity building in stocks above ₹1000</x:v>
      </x:c>
      <x:c r="L298" s="5" t="str">
        <x:v>No sector tags assigned; see description</x:v>
      </x:c>
      <x:c r="M298" s="7" t="d">
        <x:v>2026-09-02T00:00:00.000Z</x:v>
      </x:c>
      <x:c r="N298" s="8" t="str">
        <x:v>https://www.smallcase.com/smallcase/capital-compunders-SYVMO_0004</x:v>
      </x:c>
      <x:c r="O298" s="4" t="str">
        <x:v>SYVMO_0004</x:v>
      </x:c>
      <x:c r="P298" s="5" t="str">
        <x:v>Diversified; sector mandate not specified</x:v>
      </x:c>
    </x:row>
    <x:row r="299" ht="60" customHeight="1">
      <x:c r="A299" s="4" t="n">
        <x:v>296</x:v>
      </x:c>
      <x:c r="B299" s="5" t="str">
        <x:v>FidelFolio K2 Equity Access Quant</x:v>
      </x:c>
      <x:c r="C299" s="5" t="str">
        <x:v>FidelFolio Investment</x:v>
      </x:c>
      <x:c r="D299" s="5" t="str">
        <x:v>Diversified / strategy</x:v>
      </x:c>
      <x:c r="E299" s="5" t="str">
        <x:v>No specific industry mandate identified</x:v>
      </x:c>
      <x:c r="F299" s="5" t="str">
        <x:v>Quant / factor</x:v>
      </x:c>
      <x:c r="G299" s="6" t="n">
        <x:v>34964</x:v>
      </x:c>
      <x:c r="H299" s="4" t="str">
        <x:v>High</x:v>
      </x:c>
      <x:c r="I299" s="4" t="str">
        <x:v>Fee based</x:v>
      </x:c>
      <x:c r="J299" s="6" t="n">
        <x:v>583</x:v>
      </x:c>
      <x:c r="K299" s="5" t="str">
        <x:v>Tested smallcap agility capturing high-conviction outperformers</x:v>
      </x:c>
      <x:c r="L299" s="5" t="str">
        <x:v>No sector tags assigned; see description</x:v>
      </x:c>
      <x:c r="M299" s="7" t="d">
        <x:v>2025-12-22T00:00:00.000Z</x:v>
      </x:c>
      <x:c r="N299" s="8" t="str">
        <x:v>https://www.smallcase.com/smallcase/c3_cagr_exc4stocks_march-fixed-KIUPMO_0019</x:v>
      </x:c>
      <x:c r="O299" s="4" t="str">
        <x:v>KIUPMO_0019</x:v>
      </x:c>
      <x:c r="P299" s="5" t="str">
        <x:v>Diversified; sector mandate not specified</x:v>
      </x:c>
    </x:row>
    <x:row r="300" ht="60" customHeight="1">
      <x:c r="A300" s="4" t="n">
        <x:v>297</x:v>
      </x:c>
      <x:c r="B300" s="5" t="str">
        <x:v>SABKA STAYVAN Quant</x:v>
      </x:c>
      <x:c r="C300" s="5" t="str">
        <x:v>Stayvan</x:v>
      </x:c>
      <x:c r="D300" s="5" t="str">
        <x:v>Diversified / strategy</x:v>
      </x:c>
      <x:c r="E300" s="5" t="str">
        <x:v>No specific industry mandate identified</x:v>
      </x:c>
      <x:c r="F300" s="5" t="str">
        <x:v>Quant / factor</x:v>
      </x:c>
      <x:c r="G300" s="6" t="n">
        <x:v>1899</x:v>
      </x:c>
      <x:c r="H300" s="4" t="str">
        <x:v>Medium</x:v>
      </x:c>
      <x:c r="I300" s="4" t="str">
        <x:v>Fee based</x:v>
      </x:c>
      <x:c r="J300" s="6" t="n">
        <x:v>499</x:v>
      </x:c>
      <x:c r="K300" s="5" t="str">
        <x:v>SIP buying, structured exits, capital compounding strategy and equity building in stocks under ₹200</x:v>
      </x:c>
      <x:c r="L300" s="5" t="str">
        <x:v>No sector tags assigned; see description</x:v>
      </x:c>
      <x:c r="M300" s="7" t="d">
        <x:v>2026-10-27T00:00:00.000Z</x:v>
      </x:c>
      <x:c r="N300" s="8" t="str">
        <x:v>https://www.smallcase.com/smallcase/multibaggers'-portfolio-SYVMO_0005</x:v>
      </x:c>
      <x:c r="O300" s="4" t="str">
        <x:v>SYVMO_0005</x:v>
      </x:c>
      <x:c r="P300" s="5" t="str">
        <x:v>Diversified; sector mandate not specified</x:v>
      </x:c>
    </x:row>
    <x:row r="301" ht="60" customHeight="1">
      <x:c r="A301" s="4" t="n">
        <x:v>298</x:v>
      </x:c>
      <x:c r="B301" s="5" t="str">
        <x:v>MMG Top 15 smallcase Fundamental</x:v>
      </x:c>
      <x:c r="C301" s="5" t="str">
        <x:v>MyMoneyGuru</x:v>
      </x:c>
      <x:c r="D301" s="5" t="str">
        <x:v>Diversified / strategy</x:v>
      </x:c>
      <x:c r="E301" s="5" t="str">
        <x:v>No specific industry mandate identified</x:v>
      </x:c>
      <x:c r="F301" s="5" t="str">
        <x:v>Fundamental / growth / quality</x:v>
      </x:c>
      <x:c r="G301" s="6" t="n">
        <x:v>228618</x:v>
      </x:c>
      <x:c r="H301" s="4" t="str">
        <x:v>High</x:v>
      </x:c>
      <x:c r="I301" s="4" t="str">
        <x:v>Fee based</x:v>
      </x:c>
      <x:c r="J301" s="6" t="n">
        <x:v>1648</x:v>
      </x:c>
      <x:c r="K301" s="5" t="str">
        <x:v>MMG Top 15: Quality. Growth. Outperformance.</x:v>
      </x:c>
      <x:c r="L301" s="5" t="str">
        <x:v>No sector tags assigned; see description</x:v>
      </x:c>
      <x:c r="M301" s="7" t="d">
        <x:v>2026-09-29T00:00:00.000Z</x:v>
      </x:c>
      <x:c r="N301" s="8" t="str">
        <x:v>https://www.smallcase.com/smallcase/mymoneyguru-top-25-MYMOMO_0001</x:v>
      </x:c>
      <x:c r="O301" s="4" t="str">
        <x:v>MYMOMO_0001</x:v>
      </x:c>
      <x:c r="P301" s="5" t="str">
        <x:v>Diversified; sector mandate not specified</x:v>
      </x:c>
    </x:row>
    <x:row r="302" ht="60" customHeight="1">
      <x:c r="A302" s="4" t="n">
        <x:v>299</x:v>
      </x:c>
      <x:c r="B302" s="5" t="str">
        <x:v>Consumer Durables Stars Tracker</x:v>
      </x:c>
      <x:c r="C302" s="5" t="str">
        <x:v>Quantace Research</x:v>
      </x:c>
      <x:c r="D302" s="5" t="str">
        <x:v>Sector / industry theme</x:v>
      </x:c>
      <x:c r="E302" s="5" t="str">
        <x:v>Consumer, FMCG &amp; durables</x:v>
      </x:c>
      <x:c r="F302" s="5" t="str">
        <x:v>Other / not specified</x:v>
      </x:c>
      <x:c r="G302" s="6" t="n">
        <x:v>38907</x:v>
      </x:c>
      <x:c r="H302" s="4" t="str">
        <x:v>High</x:v>
      </x:c>
      <x:c r="I302" s="4" t="str">
        <x:v>Fee based</x:v>
      </x:c>
      <x:c r="J302" s="6" t="n">
        <x:v>675</x:v>
      </x:c>
      <x:c r="K302" s="5" t="str">
        <x:v>Investing in Everyday Essentials</x:v>
      </x:c>
      <x:c r="L302" s="5" t="str">
        <x:v>Title and listing description</x:v>
      </x:c>
      <x:c r="M302" s="7" t="d">
        <x:v>2026-10-26T00:00:00.000Z</x:v>
      </x:c>
      <x:c r="N302" s="8" t="str">
        <x:v>https://www.smallcase.com/smallcase/quantace-consumer-stars-QURETR_0009</x:v>
      </x:c>
      <x:c r="O302" s="4" t="str">
        <x:v>QURETR_0009</x:v>
      </x:c>
      <x:c r="P302" s="5" t="str"/>
    </x:row>
    <x:row r="303" ht="60" customHeight="1">
      <x:c r="A303" s="4" t="n">
        <x:v>300</x:v>
      </x:c>
      <x:c r="B303" s="5" t="str">
        <x:v>Digital India Theme</x:v>
      </x:c>
      <x:c r="C303" s="5" t="str">
        <x:v>Quantace Research</x:v>
      </x:c>
      <x:c r="D303" s="5" t="str">
        <x:v>Sector / industry theme</x:v>
      </x:c>
      <x:c r="E303" s="5" t="str">
        <x:v>IT, software &amp; digital platforms</x:v>
      </x:c>
      <x:c r="F303" s="5" t="str">
        <x:v>Quant / factor</x:v>
      </x:c>
      <x:c r="G303" s="6" t="n">
        <x:v>13470</x:v>
      </x:c>
      <x:c r="H303" s="4" t="str">
        <x:v>High</x:v>
      </x:c>
      <x:c r="I303" s="4" t="str">
        <x:v>Fee based</x:v>
      </x:c>
      <x:c r="J303" s="6" t="n">
        <x:v>675</x:v>
      </x:c>
      <x:c r="K303" s="5" t="str">
        <x:v>Quantace's Preferred Picks in the Digital Sector</x:v>
      </x:c>
      <x:c r="L303" s="5" t="str">
        <x:v>Title and listing description</x:v>
      </x:c>
      <x:c r="M303" s="7" t="d">
        <x:v>2026-10-26T00:00:00.000Z</x:v>
      </x:c>
      <x:c r="N303" s="8" t="str">
        <x:v>https://www.smallcase.com/smallcase/quantace-digital-india-stars-QURENM_0002</x:v>
      </x:c>
      <x:c r="O303" s="4" t="str">
        <x:v>QURENM_0002</x:v>
      </x:c>
      <x:c r="P303" s="5" t="str"/>
    </x:row>
    <x:row r="304" ht="60" customHeight="1">
      <x:c r="A304" s="4" t="n">
        <x:v>301</x:v>
      </x:c>
      <x:c r="B304" s="5" t="str">
        <x:v>PSU Stars Tracker</x:v>
      </x:c>
      <x:c r="C304" s="5" t="str">
        <x:v>Quantace Research</x:v>
      </x:c>
      <x:c r="D304" s="5" t="str">
        <x:v>Business group / PSU ownership</x:v>
      </x:c>
      <x:c r="E304" s="5" t="str">
        <x:v>No specific industry mandate identified</x:v>
      </x:c>
      <x:c r="F304" s="5" t="str">
        <x:v>Value / contrarian</x:v>
      </x:c>
      <x:c r="G304" s="6" t="n">
        <x:v>48623</x:v>
      </x:c>
      <x:c r="H304" s="4" t="str">
        <x:v>High</x:v>
      </x:c>
      <x:c r="I304" s="4" t="str">
        <x:v>Fee based</x:v>
      </x:c>
      <x:c r="J304" s="6" t="n">
        <x:v>675</x:v>
      </x:c>
      <x:c r="K304" s="5" t="str">
        <x:v>Unlocking Value in Public Sector Enterprises</x:v>
      </x:c>
      <x:c r="L304" s="5" t="str">
        <x:v>No sector tags assigned; see description</x:v>
      </x:c>
      <x:c r="M304" s="7" t="d">
        <x:v>2026-10-26T00:00:00.000Z</x:v>
      </x:c>
      <x:c r="N304" s="8" t="str">
        <x:v>https://www.smallcase.com/smallcase/quantace-pse-stars-QURENM_0004</x:v>
      </x:c>
      <x:c r="O304" s="4" t="str">
        <x:v>QURENM_0004</x:v>
      </x:c>
      <x:c r="P304" s="5" t="str">
        <x:v>Business group / PSU ownership</x:v>
      </x:c>
    </x:row>
    <x:row r="305" ht="60" customHeight="1">
      <x:c r="A305" s="4" t="n">
        <x:v>302</x:v>
      </x:c>
      <x:c r="B305" s="5" t="str">
        <x:v>The Resilient Pack Theme</x:v>
      </x:c>
      <x:c r="C305" s="5" t="str">
        <x:v>Ethical Advisers</x:v>
      </x:c>
      <x:c r="D305" s="5" t="str">
        <x:v>Diversified / strategy</x:v>
      </x:c>
      <x:c r="E305" s="5" t="str">
        <x:v>No specific industry mandate identified</x:v>
      </x:c>
      <x:c r="F305" s="5" t="str">
        <x:v>Other / not specified</x:v>
      </x:c>
      <x:c r="G305" s="6" t="n">
        <x:v>166241</x:v>
      </x:c>
      <x:c r="H305" s="4" t="str">
        <x:v>Medium</x:v>
      </x:c>
      <x:c r="I305" s="4" t="str">
        <x:v>Fee based</x:v>
      </x:c>
      <x:c r="J305" s="6" t="n">
        <x:v>666</x:v>
      </x:c>
      <x:c r="K305" s="5" t="str">
        <x:v>An actively managed basket of resilient names, which tend to outperform a volatile market.</x:v>
      </x:c>
      <x:c r="L305" s="5" t="str">
        <x:v>No sector tags assigned; see description</x:v>
      </x:c>
      <x:c r="M305" s="7" t="d">
        <x:v>2026-10-21T00:00:00.000Z</x:v>
      </x:c>
      <x:c r="N305" s="8" t="str">
        <x:v>https://www.smallcase.com/smallcase/the-resilient-pack-EHANM_0001</x:v>
      </x:c>
      <x:c r="O305" s="4" t="str">
        <x:v>EHANM_0001</x:v>
      </x:c>
      <x:c r="P305" s="5" t="str">
        <x:v>Diversified; sector mandate not specified</x:v>
      </x:c>
    </x:row>
    <x:row r="306" ht="60" customHeight="1">
      <x:c r="A306" s="4" t="n">
        <x:v>303</x:v>
      </x:c>
      <x:c r="B306" s="5" t="str">
        <x:v>Midcap and Smallcap Stocks Basket Theme</x:v>
      </x:c>
      <x:c r="C306" s="5" t="str">
        <x:v>SUMAN SHANDIL</x:v>
      </x:c>
      <x:c r="D306" s="5" t="str">
        <x:v>Diversified / strategy</x:v>
      </x:c>
      <x:c r="E306" s="5" t="str">
        <x:v>No specific industry mandate identified</x:v>
      </x:c>
      <x:c r="F306" s="5" t="str">
        <x:v>Other / not specified</x:v>
      </x:c>
      <x:c r="G306" s="6" t="n">
        <x:v>26956</x:v>
      </x:c>
      <x:c r="H306" s="4" t="str">
        <x:v>High</x:v>
      </x:c>
      <x:c r="I306" s="4" t="str">
        <x:v>Fee based</x:v>
      </x:c>
      <x:c r="J306" s="6" t="n">
        <x:v>1000</x:v>
      </x:c>
      <x:c r="K306" s="5" t="str">
        <x:v>This portfolio is suitable for aggressive investors who can take high risk for high returns.</x:v>
      </x:c>
      <x:c r="L306" s="5" t="str">
        <x:v>No sector tags assigned; see description</x:v>
      </x:c>
      <x:c r="M306" s="7" t="d">
        <x:v>2026-09-30T00:00:00.000Z</x:v>
      </x:c>
      <x:c r="N306" s="8" t="str">
        <x:v>https://www.smallcase.com/smallcase/penny-stocks-basket-1-(nsebse-stocks)-SUSHMO_0002</x:v>
      </x:c>
      <x:c r="O306" s="4" t="str">
        <x:v>SUSHMO_0002</x:v>
      </x:c>
      <x:c r="P306" s="5" t="str">
        <x:v>Diversified; sector mandate not specified</x:v>
      </x:c>
    </x:row>
    <x:row r="307" ht="60" customHeight="1">
      <x:c r="A307" s="4" t="n">
        <x:v>304</x:v>
      </x:c>
      <x:c r="B307" s="5" t="str">
        <x:v>Omni FlexiCap SuperStox. Fundamental</x:v>
      </x:c>
      <x:c r="C307" s="5" t="str">
        <x:v>Omniscience Capital</x:v>
      </x:c>
      <x:c r="D307" s="5" t="str">
        <x:v>Diversified / strategy</x:v>
      </x:c>
      <x:c r="E307" s="5" t="str">
        <x:v>No specific industry mandate identified</x:v>
      </x:c>
      <x:c r="F307" s="5" t="str">
        <x:v>Fundamental / growth / quality</x:v>
      </x:c>
      <x:c r="G307" s="6" t="n">
        <x:v>500000</x:v>
      </x:c>
      <x:c r="H307" s="4" t="str">
        <x:v>High</x:v>
      </x:c>
      <x:c r="I307" s="4" t="str">
        <x:v>Fee based</x:v>
      </x:c>
      <x:c r="J307" s="6" t="n">
        <x:v>4916</x:v>
      </x:c>
      <x:c r="K307" s="5" t="str">
        <x:v>A SuperNormal portfolio of Capital Multipliers – Grow with India Inc.</x:v>
      </x:c>
      <x:c r="L307" s="5" t="str">
        <x:v>No sector tags assigned; see description</x:v>
      </x:c>
      <x:c r="M307" s="7" t="d">
        <x:v>2026-09-17T00:00:00.000Z</x:v>
      </x:c>
      <x:c r="N307" s="8" t="str">
        <x:v>https://www.smallcase.com/smallcase/omni-superstox-supernormal-flexicaps-OMNMO_0025</x:v>
      </x:c>
      <x:c r="O307" s="4" t="str">
        <x:v>OMNMO_0025</x:v>
      </x:c>
      <x:c r="P307" s="5" t="str">
        <x:v>Diversified; sector mandate not specified</x:v>
      </x:c>
    </x:row>
    <x:row r="308" ht="60" customHeight="1">
      <x:c r="A308" s="4" t="n">
        <x:v>305</x:v>
      </x:c>
      <x:c r="B308" s="5" t="str">
        <x:v>House of Bajaj Tracker</x:v>
      </x:c>
      <x:c r="C308" s="5" t="str">
        <x:v>Windmill Capital</x:v>
      </x:c>
      <x:c r="D308" s="5" t="str">
        <x:v>Business group / PSU ownership</x:v>
      </x:c>
      <x:c r="E308" s="5" t="str">
        <x:v>No specific industry mandate identified</x:v>
      </x:c>
      <x:c r="F308" s="5" t="str">
        <x:v>Other / not specified</x:v>
      </x:c>
      <x:c r="G308" s="6" t="n">
        <x:v>36319</x:v>
      </x:c>
      <x:c r="H308" s="4" t="str">
        <x:v>High</x:v>
      </x:c>
      <x:c r="I308" s="4" t="str">
        <x:v>Fee based</x:v>
      </x:c>
      <x:c r="J308" s="6" t="n">
        <x:v>120</x:v>
      </x:c>
      <x:c r="K308" s="5" t="str">
        <x:v>Companies part of Bajaj group, with footprint across a range of sectors</x:v>
      </x:c>
      <x:c r="L308" s="5" t="str">
        <x:v>No sector tags assigned; see description</x:v>
      </x:c>
      <x:c r="M308" s="7" t="d">
        <x:v>2026-09-17T00:00:00.000Z</x:v>
      </x:c>
      <x:c r="N308" s="8" t="str">
        <x:v>https://www.smallcase.com/smallcase/house-of-bajaj-SCTR_0013</x:v>
      </x:c>
      <x:c r="O308" s="4" t="str">
        <x:v>SCTR_0013</x:v>
      </x:c>
      <x:c r="P308" s="5" t="str">
        <x:v>Business group / PSU ownership</x:v>
      </x:c>
    </x:row>
    <x:row r="309" ht="60" customHeight="1">
      <x:c r="A309" s="4" t="n">
        <x:v>306</x:v>
      </x:c>
      <x:c r="B309" s="5" t="str">
        <x:v>House of HDFC Tracker</x:v>
      </x:c>
      <x:c r="C309" s="5" t="str">
        <x:v>Windmill Capital</x:v>
      </x:c>
      <x:c r="D309" s="5" t="str">
        <x:v>Sector / industry theme</x:v>
      </x:c>
      <x:c r="E309" s="5" t="str">
        <x:v>Financial services &amp; fintech</x:v>
      </x:c>
      <x:c r="F309" s="5" t="str">
        <x:v>Other / not specified</x:v>
      </x:c>
      <x:c r="G309" s="6" t="n">
        <x:v>9055</x:v>
      </x:c>
      <x:c r="H309" s="4" t="str">
        <x:v>High</x:v>
      </x:c>
      <x:c r="I309" s="4" t="str">
        <x:v>Fee based</x:v>
      </x:c>
      <x:c r="J309" s="6" t="n">
        <x:v>120</x:v>
      </x:c>
      <x:c r="K309" s="5" t="str">
        <x:v>Companies part of HDFC group, a large conglomerate with businesses in the financial services sector</x:v>
      </x:c>
      <x:c r="L309" s="5" t="str">
        <x:v>Title and listing description</x:v>
      </x:c>
      <x:c r="M309" s="7" t="d">
        <x:v>2026-09-17T00:00:00.000Z</x:v>
      </x:c>
      <x:c r="N309" s="8" t="str">
        <x:v>https://www.smallcase.com/smallcase/house-of-hdfc-SCTR_0015</x:v>
      </x:c>
      <x:c r="O309" s="4" t="str">
        <x:v>SCTR_0015</x:v>
      </x:c>
      <x:c r="P309" s="5" t="str"/>
    </x:row>
    <x:row r="310" ht="60" customHeight="1">
      <x:c r="A310" s="4" t="n">
        <x:v>307</x:v>
      </x:c>
      <x:c r="B310" s="5" t="str">
        <x:v>The Dark Horse Pack Theme</x:v>
      </x:c>
      <x:c r="C310" s="5" t="str">
        <x:v>Ethical Advisers</x:v>
      </x:c>
      <x:c r="D310" s="5" t="str">
        <x:v>Diversified / strategy</x:v>
      </x:c>
      <x:c r="E310" s="5" t="str">
        <x:v>No specific industry mandate identified</x:v>
      </x:c>
      <x:c r="F310" s="5" t="str">
        <x:v>Other / not specified</x:v>
      </x:c>
      <x:c r="G310" s="6" t="n">
        <x:v>32026</x:v>
      </x:c>
      <x:c r="H310" s="4" t="str">
        <x:v>High</x:v>
      </x:c>
      <x:c r="I310" s="4" t="str">
        <x:v>Fee based</x:v>
      </x:c>
      <x:c r="J310" s="6" t="n">
        <x:v>708</x:v>
      </x:c>
      <x:c r="K310" s="5" t="str">
        <x:v>Out of favour stocks with the potential to rebound</x:v>
      </x:c>
      <x:c r="L310" s="5" t="str">
        <x:v>No sector tags assigned; see description</x:v>
      </x:c>
      <x:c r="M310" s="7" t="d">
        <x:v>2026-08-24T00:00:00.000Z</x:v>
      </x:c>
      <x:c r="N310" s="8" t="str">
        <x:v>https://www.smallcase.com/smallcase/the-dark-horse-pack-EHANM_0006</x:v>
      </x:c>
      <x:c r="O310" s="4" t="str">
        <x:v>EHANM_0006</x:v>
      </x:c>
      <x:c r="P310" s="5" t="str">
        <x:v>Diversified; sector mandate not specified</x:v>
      </x:c>
    </x:row>
    <x:row r="311" ht="60" customHeight="1">
      <x:c r="A311" s="4" t="n">
        <x:v>308</x:v>
      </x:c>
      <x:c r="B311" s="5" t="str">
        <x:v>GVSR - BFSI- Wealth Management Theme Theme</x:v>
      </x:c>
      <x:c r="C311" s="5" t="str">
        <x:v>GVSRwealth</x:v>
      </x:c>
      <x:c r="D311" s="5" t="str">
        <x:v>Sector / industry theme</x:v>
      </x:c>
      <x:c r="E311" s="5" t="str">
        <x:v>Capital markets &amp; wealth management</x:v>
      </x:c>
      <x:c r="F311" s="5" t="str">
        <x:v>Value / contrarian</x:v>
      </x:c>
      <x:c r="G311" s="6" t="n">
        <x:v>93890</x:v>
      </x:c>
      <x:c r="H311" s="4" t="str">
        <x:v>High</x:v>
      </x:c>
      <x:c r="I311" s="4" t="str">
        <x:v>Fee based</x:v>
      </x:c>
      <x:c r="J311" s="6" t="n">
        <x:v>1233</x:v>
      </x:c>
      <x:c r="K311" s="5" t="str">
        <x:v>Value (V) buys in 'wealth management' segment of the BFSI Sector.</x:v>
      </x:c>
      <x:c r="L311" s="5" t="str">
        <x:v>Title and listing description</x:v>
      </x:c>
      <x:c r="M311" s="7" t="d">
        <x:v>2026-10-12T00:00:00.000Z</x:v>
      </x:c>
      <x:c r="N311" s="8" t="str">
        <x:v>https://www.smallcase.com/smallcase/gvsr-bfsi-wealth-management-cos.-GVSRNM_0005</x:v>
      </x:c>
      <x:c r="O311" s="4" t="str">
        <x:v>GVSRNM_0005</x:v>
      </x:c>
      <x:c r="P311" s="5" t="str"/>
    </x:row>
    <x:row r="312" ht="60" customHeight="1">
      <x:c r="A312" s="4" t="n">
        <x:v>309</x:v>
      </x:c>
      <x:c r="B312" s="5" t="str">
        <x:v>Emerging Global Giants - Global Companies Theme</x:v>
      </x:c>
      <x:c r="C312" s="5" t="str">
        <x:v>Green Portfolio</x:v>
      </x:c>
      <x:c r="D312" s="5" t="str">
        <x:v>Diversified / strategy</x:v>
      </x:c>
      <x:c r="E312" s="5" t="str">
        <x:v>No specific industry mandate identified</x:v>
      </x:c>
      <x:c r="F312" s="5" t="str">
        <x:v>Fundamental / growth / quality</x:v>
      </x:c>
      <x:c r="G312" s="6" t="n">
        <x:v>107612</x:v>
      </x:c>
      <x:c r="H312" s="4" t="str">
        <x:v>Medium</x:v>
      </x:c>
      <x:c r="I312" s="4" t="str">
        <x:v>Fee based</x:v>
      </x:c>
      <x:c r="J312" s="6" t="n">
        <x:v>295</x:v>
      </x:c>
      <x:c r="K312" s="5" t="str">
        <x:v>Invest in India's best MNC companies for global growth.</x:v>
      </x:c>
      <x:c r="L312" s="5" t="str">
        <x:v>No sector tags assigned; see description</x:v>
      </x:c>
      <x:c r="M312" s="7" t="d">
        <x:v>2025-12-08T00:00:00.000Z</x:v>
      </x:c>
      <x:c r="N312" s="8" t="str">
        <x:v>https://www.smallcase.com/smallcase/best-multi-national-companies-(new)-GPRNM_0001</x:v>
      </x:c>
      <x:c r="O312" s="4" t="str">
        <x:v>GPRNM_0001</x:v>
      </x:c>
      <x:c r="P312" s="5" t="str">
        <x:v>Diversified; sector mandate not specified</x:v>
      </x:c>
    </x:row>
    <x:row r="313" ht="60" customHeight="1">
      <x:c r="A313" s="4" t="n">
        <x:v>311</x:v>
      </x:c>
      <x:c r="B313" s="5" t="str">
        <x:v>Large - Mid - Small Cap Wonders Model</x:v>
      </x:c>
      <x:c r="C313" s="5" t="str">
        <x:v>Bullish India</x:v>
      </x:c>
      <x:c r="D313" s="5" t="str">
        <x:v>Diversified / strategy</x:v>
      </x:c>
      <x:c r="E313" s="5" t="str">
        <x:v>No specific industry mandate identified</x:v>
      </x:c>
      <x:c r="F313" s="5" t="str">
        <x:v>Other / not specified</x:v>
      </x:c>
      <x:c r="G313" s="6" t="n">
        <x:v>50000</x:v>
      </x:c>
      <x:c r="H313" s="4" t="str">
        <x:v>High</x:v>
      </x:c>
      <x:c r="I313" s="4" t="str">
        <x:v>Fee based</x:v>
      </x:c>
      <x:c r="J313" s="6" t="n">
        <x:v>1666</x:v>
      </x:c>
      <x:c r="K313" s="5" t="str">
        <x:v>Explore India's Large, Mid, and Small Cap Wonders with Bullish India Team</x:v>
      </x:c>
      <x:c r="L313" s="5" t="str">
        <x:v>No sector tags assigned; see description</x:v>
      </x:c>
      <x:c r="M313" s="7" t="d">
        <x:v>2026-10-19T00:00:00.000Z</x:v>
      </x:c>
      <x:c r="N313" s="8" t="str">
        <x:v>https://www.smallcase.com/smallcase/large-:-mid-:-small-cap-wonders-BULLMO_0003</x:v>
      </x:c>
      <x:c r="O313" s="4" t="str">
        <x:v>BULLMO_0003</x:v>
      </x:c>
      <x:c r="P313" s="5" t="str">
        <x:v>Diversified; sector mandate not specified</x:v>
      </x:c>
    </x:row>
    <x:row r="314" ht="60" customHeight="1">
      <x:c r="A314" s="4" t="n">
        <x:v>312</x:v>
      </x:c>
      <x:c r="B314" s="5" t="str">
        <x:v>GVSR- Growth Strategies - Pack-1 Growth Model</x:v>
      </x:c>
      <x:c r="C314" s="5" t="str">
        <x:v>GVSRwealth</x:v>
      </x:c>
      <x:c r="D314" s="5" t="str">
        <x:v>Diversified / strategy</x:v>
      </x:c>
      <x:c r="E314" s="5" t="str">
        <x:v>No specific industry mandate identified</x:v>
      </x:c>
      <x:c r="F314" s="5" t="str">
        <x:v>Fundamental / growth / quality</x:v>
      </x:c>
      <x:c r="G314" s="6" t="n">
        <x:v>100000</x:v>
      </x:c>
      <x:c r="H314" s="4" t="str">
        <x:v>High</x:v>
      </x:c>
      <x:c r="I314" s="4" t="str">
        <x:v>Fee based</x:v>
      </x:c>
      <x:c r="J314" s="6" t="n">
        <x:v>1233</x:v>
      </x:c>
      <x:c r="K314" s="5" t="str">
        <x:v>Focus is on stocks with good 'Growth' Potential (G) in Small &amp; Mid-cap segments</x:v>
      </x:c>
      <x:c r="L314" s="5" t="str">
        <x:v>No sector tags assigned; see description</x:v>
      </x:c>
      <x:c r="M314" s="7" t="d">
        <x:v>2026-04-23T00:00:00.000Z</x:v>
      </x:c>
      <x:c r="N314" s="8" t="str">
        <x:v>https://www.smallcase.com/smallcase/gvsr-growth-strategies-pack-1-GVSRMO_0002</x:v>
      </x:c>
      <x:c r="O314" s="4" t="str">
        <x:v>GVSRMO_0002</x:v>
      </x:c>
      <x:c r="P314" s="5" t="str">
        <x:v>Diversified; sector mandate not specified</x:v>
      </x:c>
    </x:row>
    <x:row r="315" ht="60" customHeight="1">
      <x:c r="A315" s="4" t="n">
        <x:v>313</x:v>
      </x:c>
      <x:c r="B315" s="5" t="str">
        <x:v>Gulaq Gear 3 Quant</x:v>
      </x:c>
      <x:c r="C315" s="5" t="str">
        <x:v>Estee</x:v>
      </x:c>
      <x:c r="D315" s="5" t="str">
        <x:v>Asset allocation / target date</x:v>
      </x:c>
      <x:c r="E315" s="5" t="str">
        <x:v>No specific industry mandate identified</x:v>
      </x:c>
      <x:c r="F315" s="5" t="str">
        <x:v>Asset allocation</x:v>
      </x:c>
      <x:c r="G315" s="6" t="n">
        <x:v>80000</x:v>
      </x:c>
      <x:c r="H315" s="4" t="str">
        <x:v>Low</x:v>
      </x:c>
      <x:c r="I315" s="4" t="str">
        <x:v>Fee based</x:v>
      </x:c>
      <x:c r="J315" s="6" t="n">
        <x:v>491</x:v>
      </x:c>
      <x:c r="K315" s="5" t="str">
        <x:v>Growth oriented portfolio suited for Conservative to Moderate investors (40% Equity, 60% Debt ETF)</x:v>
      </x:c>
      <x:c r="L315" s="5" t="str">
        <x:v>No sector tags assigned; see description</x:v>
      </x:c>
      <x:c r="M315" s="7" t="d">
        <x:v>2026-09-29T00:00:00.000Z</x:v>
      </x:c>
      <x:c r="N315" s="8" t="str">
        <x:v>https://www.smallcase.com/smallcase/estee-long-alpha-lite-(gear-2)-ESTMO_0003</x:v>
      </x:c>
      <x:c r="O315" s="4" t="str">
        <x:v>ESTMO_0003</x:v>
      </x:c>
      <x:c r="P315" s="5" t="str">
        <x:v>Asset allocation / target date</x:v>
      </x:c>
    </x:row>
    <x:row r="316" ht="60" customHeight="1">
      <x:c r="A316" s="4" t="n">
        <x:v>314</x:v>
      </x:c>
      <x:c r="B316" s="5" t="str">
        <x:v>The Dependables Theme</x:v>
      </x:c>
      <x:c r="C316" s="5" t="str">
        <x:v>Ethical Advisers</x:v>
      </x:c>
      <x:c r="D316" s="5" t="str">
        <x:v>Diversified / strategy</x:v>
      </x:c>
      <x:c r="E316" s="5" t="str">
        <x:v>No specific industry mandate identified</x:v>
      </x:c>
      <x:c r="F316" s="5" t="str">
        <x:v>Value / contrarian</x:v>
      </x:c>
      <x:c r="G316" s="6" t="n">
        <x:v>134603</x:v>
      </x:c>
      <x:c r="H316" s="4" t="str">
        <x:v>High</x:v>
      </x:c>
      <x:c r="I316" s="4" t="str">
        <x:v>Fee based</x:v>
      </x:c>
      <x:c r="J316" s="6" t="n">
        <x:v>624</x:v>
      </x:c>
      <x:c r="K316" s="5" t="str">
        <x:v>Great businesses whose share prices have corrected significantly, and offer value for medium to long term investors.</x:v>
      </x:c>
      <x:c r="L316" s="5" t="str">
        <x:v>No sector tags assigned; see description</x:v>
      </x:c>
      <x:c r="M316" s="7" t="d">
        <x:v>2026-10-21T00:00:00.000Z</x:v>
      </x:c>
      <x:c r="N316" s="8" t="str">
        <x:v>https://www.smallcase.com/smallcase/the-dependables!-EHANM_0002</x:v>
      </x:c>
      <x:c r="O316" s="4" t="str">
        <x:v>EHANM_0002</x:v>
      </x:c>
      <x:c r="P316" s="5" t="str">
        <x:v>Diversified; sector mandate not specified</x:v>
      </x:c>
    </x:row>
    <x:row r="317" ht="60" customHeight="1">
      <x:c r="A317" s="4" t="n">
        <x:v>316</x:v>
      </x:c>
      <x:c r="B317" s="5" t="str">
        <x:v>Financial Services Powerpack Theme</x:v>
      </x:c>
      <x:c r="C317" s="5" t="str">
        <x:v>Ethical Advisers</x:v>
      </x:c>
      <x:c r="D317" s="5" t="str">
        <x:v>Sector / industry theme</x:v>
      </x:c>
      <x:c r="E317" s="5" t="str">
        <x:v>Financial services &amp; fintech</x:v>
      </x:c>
      <x:c r="F317" s="5" t="str">
        <x:v>Other / not specified</x:v>
      </x:c>
      <x:c r="G317" s="6" t="n">
        <x:v>91055</x:v>
      </x:c>
      <x:c r="H317" s="4" t="str">
        <x:v>High</x:v>
      </x:c>
      <x:c r="I317" s="4" t="str">
        <x:v>Fee based</x:v>
      </x:c>
      <x:c r="J317" s="6" t="n">
        <x:v>666</x:v>
      </x:c>
      <x:c r="K317" s="5" t="str">
        <x:v>Financials have corrected to a great extent in the recent meltdown, providing an excellent entry</x:v>
      </x:c>
      <x:c r="L317" s="5" t="str">
        <x:v>Title and listing description</x:v>
      </x:c>
      <x:c r="M317" s="7" t="d">
        <x:v>2026-10-21T00:00:00.000Z</x:v>
      </x:c>
      <x:c r="N317" s="8" t="str">
        <x:v>https://www.smallcase.com/smallcase/financial-services-powerpack-EHAMO_0001</x:v>
      </x:c>
      <x:c r="O317" s="4" t="str">
        <x:v>EHAMO_0001</x:v>
      </x:c>
      <x:c r="P317" s="5" t="str"/>
    </x:row>
    <x:row r="318" ht="60" customHeight="1">
      <x:c r="A318" s="4" t="n">
        <x:v>317</x:v>
      </x:c>
      <x:c r="B318" s="5" t="str">
        <x:v>Auto Pack - Stepping Up the Gear Theme</x:v>
      </x:c>
      <x:c r="C318" s="5" t="str">
        <x:v>Ethical Advisers</x:v>
      </x:c>
      <x:c r="D318" s="5" t="str">
        <x:v>Sector / industry theme</x:v>
      </x:c>
      <x:c r="E318" s="5" t="str">
        <x:v>Automobiles, EVs &amp; components</x:v>
      </x:c>
      <x:c r="F318" s="5" t="str">
        <x:v>Other / not specified</x:v>
      </x:c>
      <x:c r="G318" s="6" t="n">
        <x:v>258453</x:v>
      </x:c>
      <x:c r="H318" s="4" t="str">
        <x:v>High</x:v>
      </x:c>
      <x:c r="I318" s="4" t="str">
        <x:v>Fee based</x:v>
      </x:c>
      <x:c r="J318" s="6" t="n">
        <x:v>708</x:v>
      </x:c>
      <x:c r="K318" s="5" t="str">
        <x:v>A well researched portfolio of auto sector companies that stand to gain from demand recovery</x:v>
      </x:c>
      <x:c r="L318" s="5" t="str">
        <x:v>Title and listing description</x:v>
      </x:c>
      <x:c r="M318" s="7" t="d">
        <x:v>2026-10-21T00:00:00.000Z</x:v>
      </x:c>
      <x:c r="N318" s="8" t="str">
        <x:v>https://www.smallcase.com/smallcase/auto-pack:-stepping-up-the-gear-EHAMO_0002</x:v>
      </x:c>
      <x:c r="O318" s="4" t="str">
        <x:v>EHAMO_0002</x:v>
      </x:c>
      <x:c r="P318" s="5" t="str"/>
    </x:row>
    <x:row r="319" ht="60" customHeight="1">
      <x:c r="A319" s="4" t="n">
        <x:v>318</x:v>
      </x:c>
      <x:c r="B319" s="5" t="str">
        <x:v>Handpicked PSU GEMS Theme</x:v>
      </x:c>
      <x:c r="C319" s="5" t="str">
        <x:v>Ethical Advisers</x:v>
      </x:c>
      <x:c r="D319" s="5" t="str">
        <x:v>Business group / PSU ownership</x:v>
      </x:c>
      <x:c r="E319" s="5" t="str">
        <x:v>No specific industry mandate identified</x:v>
      </x:c>
      <x:c r="F319" s="5" t="str">
        <x:v>Value / contrarian</x:v>
      </x:c>
      <x:c r="G319" s="6" t="n">
        <x:v>120831</x:v>
      </x:c>
      <x:c r="H319" s="4" t="str">
        <x:v>High</x:v>
      </x:c>
      <x:c r="I319" s="4" t="str">
        <x:v>Fee based</x:v>
      </x:c>
      <x:c r="J319" s="6" t="n">
        <x:v>708</x:v>
      </x:c>
      <x:c r="K319" s="5" t="str">
        <x:v>Dominant, highly profitable and deeply undervalued PSUs</x:v>
      </x:c>
      <x:c r="L319" s="5" t="str">
        <x:v>No sector tags assigned; see description</x:v>
      </x:c>
      <x:c r="M319" s="7" t="d">
        <x:v>2026-08-24T00:00:00.000Z</x:v>
      </x:c>
      <x:c r="N319" s="8" t="str">
        <x:v>https://www.smallcase.com/smallcase/handpicked-psu-gems-EHAMO_0003</x:v>
      </x:c>
      <x:c r="O319" s="4" t="str">
        <x:v>EHAMO_0003</x:v>
      </x:c>
      <x:c r="P319" s="5" t="str">
        <x:v>Business group / PSU ownership</x:v>
      </x:c>
    </x:row>
    <x:row r="320" ht="60" customHeight="1">
      <x:c r="A320" s="4" t="n">
        <x:v>319</x:v>
      </x:c>
      <x:c r="B320" s="5" t="str">
        <x:v>Transformation, Disruption &amp; Turnarounds Model</x:v>
      </x:c>
      <x:c r="C320" s="5" t="str">
        <x:v>Sincere Syndication</x:v>
      </x:c>
      <x:c r="D320" s="5" t="str">
        <x:v>Diversified / strategy</x:v>
      </x:c>
      <x:c r="E320" s="5" t="str">
        <x:v>No specific industry mandate identified</x:v>
      </x:c>
      <x:c r="F320" s="5" t="str">
        <x:v>Other / not specified</x:v>
      </x:c>
      <x:c r="G320" s="6" t="n">
        <x:v>200000</x:v>
      </x:c>
      <x:c r="H320" s="4" t="str">
        <x:v>High</x:v>
      </x:c>
      <x:c r="I320" s="4" t="str">
        <x:v>Not shown</x:v>
      </x:c>
      <x:c r="J320" s="6"/>
      <x:c r="K320" s="5" t="str">
        <x:v>Transformative, turnaround &amp; disruptive stories emerging to become tomorrow's mid / large cap</x:v>
      </x:c>
      <x:c r="L320" s="5" t="str">
        <x:v>No sector tags assigned; see description</x:v>
      </x:c>
      <x:c r="M320" s="7" t="d">
        <x:v>2026-08-13T00:00:00.000Z</x:v>
      </x:c>
      <x:c r="N320" s="8" t="str">
        <x:v>https://www.smallcase.com/smallcase/transformation-disruption-and-turnarounds-SISYMO_0001</x:v>
      </x:c>
      <x:c r="O320" s="4" t="str">
        <x:v>SISYMO_0001</x:v>
      </x:c>
      <x:c r="P320" s="5" t="str">
        <x:v>Diversified; sector mandate not specified</x:v>
      </x:c>
    </x:row>
    <x:row r="321" ht="60" customHeight="1">
      <x:c r="A321" s="4" t="n">
        <x:v>320</x:v>
      </x:c>
      <x:c r="B321" s="5" t="str">
        <x:v>Transformation and Turnarounds Model</x:v>
      </x:c>
      <x:c r="C321" s="5" t="str">
        <x:v>Sincere Syndication</x:v>
      </x:c>
      <x:c r="D321" s="5" t="str">
        <x:v>Diversified / strategy</x:v>
      </x:c>
      <x:c r="E321" s="5" t="str">
        <x:v>No specific industry mandate identified</x:v>
      </x:c>
      <x:c r="F321" s="5" t="str">
        <x:v>Other / not specified</x:v>
      </x:c>
      <x:c r="G321" s="6" t="n">
        <x:v>192053</x:v>
      </x:c>
      <x:c r="H321" s="4" t="str">
        <x:v>High</x:v>
      </x:c>
      <x:c r="I321" s="4" t="str">
        <x:v>Fee based</x:v>
      </x:c>
      <x:c r="J321" s="6" t="n">
        <x:v>666</x:v>
      </x:c>
      <x:c r="K321" s="5" t="str">
        <x:v>Transformative, turnaround &amp; disruptive stories emerging to become tomorrow's mid / large cap</x:v>
      </x:c>
      <x:c r="L321" s="5" t="str">
        <x:v>No sector tags assigned; see description</x:v>
      </x:c>
      <x:c r="M321" s="7" t="d">
        <x:v>2026-08-04T00:00:00.000Z</x:v>
      </x:c>
      <x:c r="N321" s="8" t="str">
        <x:v>https://www.smallcase.com/smallcase/transformation-disruption-and-turnarounds-SISYMO_0002</x:v>
      </x:c>
      <x:c r="O321" s="4" t="str">
        <x:v>SISYMO_0002</x:v>
      </x:c>
      <x:c r="P321" s="5" t="str">
        <x:v>Diversified; sector mandate not specified</x:v>
      </x:c>
    </x:row>
    <x:row r="322" ht="60" customHeight="1">
      <x:c r="A322" s="4" t="n">
        <x:v>321</x:v>
      </x:c>
      <x:c r="B322" s="5" t="str">
        <x:v>SR LARGE CAP 200 FUND Momentum Model</x:v>
      </x:c>
      <x:c r="C322" s="5" t="str">
        <x:v>Lokesh Sethia</x:v>
      </x:c>
      <x:c r="D322" s="5" t="str">
        <x:v>Diversified / strategy</x:v>
      </x:c>
      <x:c r="E322" s="5" t="str">
        <x:v>No specific industry mandate identified</x:v>
      </x:c>
      <x:c r="F322" s="5" t="str">
        <x:v>Momentum / trend</x:v>
      </x:c>
      <x:c r="G322" s="6" t="n">
        <x:v>188527</x:v>
      </x:c>
      <x:c r="H322" s="4" t="str">
        <x:v>High</x:v>
      </x:c>
      <x:c r="I322" s="4" t="str">
        <x:v>Fee based</x:v>
      </x:c>
      <x:c r="J322" s="6" t="n">
        <x:v>1180</x:v>
      </x:c>
      <x:c r="K322" s="5" t="str">
        <x:v>Momentum Investing with Nifty 200 stock</x:v>
      </x:c>
      <x:c r="L322" s="5" t="str">
        <x:v>No sector tags assigned; see description</x:v>
      </x:c>
      <x:c r="M322" s="7" t="d">
        <x:v>2026-10-27T00:00:00.000Z</x:v>
      </x:c>
      <x:c r="N322" s="8" t="str">
        <x:v>https://www.smallcase.com/smallcase/ls200-LOSEMO_0001</x:v>
      </x:c>
      <x:c r="O322" s="4" t="str">
        <x:v>LOSEMO_0001</x:v>
      </x:c>
      <x:c r="P322" s="5" t="str">
        <x:v>Diversified; sector mandate not specified</x:v>
      </x:c>
    </x:row>
    <x:row r="323" ht="60" customHeight="1">
      <x:c r="A323" s="4" t="n">
        <x:v>322</x:v>
      </x:c>
      <x:c r="B323" s="5" t="str">
        <x:v>Quantamental - Q10 Quant</x:v>
      </x:c>
      <x:c r="C323" s="5" t="str">
        <x:v>Intelsense</x:v>
      </x:c>
      <x:c r="D323" s="5" t="str">
        <x:v>Diversified / strategy</x:v>
      </x:c>
      <x:c r="E323" s="5" t="str">
        <x:v>No specific industry mandate identified</x:v>
      </x:c>
      <x:c r="F323" s="5" t="str">
        <x:v>Momentum / trend</x:v>
      </x:c>
      <x:c r="G323" s="6" t="n">
        <x:v>75049</x:v>
      </x:c>
      <x:c r="H323" s="4" t="str">
        <x:v>High</x:v>
      </x:c>
      <x:c r="I323" s="4" t="str">
        <x:v>Fee based</x:v>
      </x:c>
      <x:c r="J323" s="6" t="n">
        <x:v>1475</x:v>
      </x:c>
      <x:c r="K323" s="5" t="str">
        <x:v>Systematic Non Discretionary Quant Momentum. Rebalanced weekly. Suitable for Active Investors.</x:v>
      </x:c>
      <x:c r="L323" s="5" t="str">
        <x:v>No sector tags assigned; see description</x:v>
      </x:c>
      <x:c r="M323" s="7" t="d">
        <x:v>2026-10-06T00:00:00.000Z</x:v>
      </x:c>
      <x:c r="N323" s="8" t="str">
        <x:v>https://www.smallcase.com/smallcase/q10-INSMO_0004</x:v>
      </x:c>
      <x:c r="O323" s="4" t="str">
        <x:v>INSMO_0004</x:v>
      </x:c>
      <x:c r="P323" s="5" t="str">
        <x:v>Diversified; sector mandate not specified</x:v>
      </x:c>
    </x:row>
    <x:row r="324" ht="60" customHeight="1">
      <x:c r="A324" s="4" t="n">
        <x:v>323</x:v>
      </x:c>
      <x:c r="B324" s="5" t="str">
        <x:v>ViniyogIndia Smallcap - Size Model</x:v>
      </x:c>
      <x:c r="C324" s="5" t="str">
        <x:v>ViniyogIndia</x:v>
      </x:c>
      <x:c r="D324" s="5" t="str">
        <x:v>Diversified / strategy</x:v>
      </x:c>
      <x:c r="E324" s="5" t="str">
        <x:v>No specific industry mandate identified</x:v>
      </x:c>
      <x:c r="F324" s="5" t="str">
        <x:v>Quant / factor</x:v>
      </x:c>
      <x:c r="G324" s="6" t="n">
        <x:v>82999</x:v>
      </x:c>
      <x:c r="H324" s="4" t="str">
        <x:v>High</x:v>
      </x:c>
      <x:c r="I324" s="4" t="str">
        <x:v>Fee based</x:v>
      </x:c>
      <x:c r="J324" s="6" t="n">
        <x:v>570</x:v>
      </x:c>
      <x:c r="K324" s="5" t="str">
        <x:v>Multifactor strategy that uses Size as one of its key factors.</x:v>
      </x:c>
      <x:c r="L324" s="5" t="str">
        <x:v>No sector tags assigned; see description</x:v>
      </x:c>
      <x:c r="M324" s="7" t="d">
        <x:v>2026-10-26T00:00:00.000Z</x:v>
      </x:c>
      <x:c r="N324" s="8" t="str">
        <x:v>https://www.smallcase.com/smallcase/viniyogindiasmallcaps-VIYIMO_0008</x:v>
      </x:c>
      <x:c r="O324" s="4" t="str">
        <x:v>VIYIMO_0008</x:v>
      </x:c>
      <x:c r="P324" s="5" t="str">
        <x:v>Diversified; sector mandate not specified</x:v>
      </x:c>
    </x:row>
    <x:row r="325" ht="60" customHeight="1">
      <x:c r="A325" s="4" t="n">
        <x:v>324</x:v>
      </x:c>
      <x:c r="B325" s="5" t="str">
        <x:v>Intrinsic Value CORE Portfolio Fundamental</x:v>
      </x:c>
      <x:c r="C325" s="5" t="str">
        <x:v>Intrinsic Value</x:v>
      </x:c>
      <x:c r="D325" s="5" t="str">
        <x:v>Diversified / strategy</x:v>
      </x:c>
      <x:c r="E325" s="5" t="str">
        <x:v>No specific industry mandate identified</x:v>
      </x:c>
      <x:c r="F325" s="5" t="str">
        <x:v>Value / contrarian</x:v>
      </x:c>
      <x:c r="G325" s="6" t="n">
        <x:v>31491</x:v>
      </x:c>
      <x:c r="H325" s="4" t="str">
        <x:v>High</x:v>
      </x:c>
      <x:c r="I325" s="4" t="str">
        <x:v>Fee based</x:v>
      </x:c>
      <x:c r="J325" s="6" t="n">
        <x:v>1178</x:v>
      </x:c>
      <x:c r="K325" s="5" t="str">
        <x:v>Undervalued Quality Companies|| Holding Period- 2+ years || capital&gt; 4 lacs</x:v>
      </x:c>
      <x:c r="L325" s="5" t="str">
        <x:v>No sector tags assigned; see description</x:v>
      </x:c>
      <x:c r="M325" s="7" t="d">
        <x:v>2026-10-26T00:00:00.000Z</x:v>
      </x:c>
      <x:c r="N325" s="8" t="str">
        <x:v>https://www.smallcase.com/smallcase/intrinsic-value-investing-portfolio-INTRMO_0002</x:v>
      </x:c>
      <x:c r="O325" s="4" t="str">
        <x:v>INTRMO_0002</x:v>
      </x:c>
      <x:c r="P325" s="5" t="str">
        <x:v>Diversified; sector mandate not specified</x:v>
      </x:c>
    </x:row>
    <x:row r="326" ht="60" customHeight="1">
      <x:c r="A326" s="4" t="n">
        <x:v>325</x:v>
      </x:c>
      <x:c r="B326" s="5" t="str">
        <x:v>Blue-Chip Value Mix Model</x:v>
      </x:c>
      <x:c r="C326" s="5" t="str">
        <x:v>StoxBazar</x:v>
      </x:c>
      <x:c r="D326" s="5" t="str">
        <x:v>Diversified / strategy</x:v>
      </x:c>
      <x:c r="E326" s="5" t="str">
        <x:v>No specific industry mandate identified</x:v>
      </x:c>
      <x:c r="F326" s="5" t="str">
        <x:v>Value / contrarian</x:v>
      </x:c>
      <x:c r="G326" s="6" t="n">
        <x:v>19821</x:v>
      </x:c>
      <x:c r="H326" s="4" t="str">
        <x:v>High</x:v>
      </x:c>
      <x:c r="I326" s="4" t="str">
        <x:v>Fee based</x:v>
      </x:c>
      <x:c r="J326" s="6" t="n">
        <x:v>583</x:v>
      </x:c>
      <x:c r="K326" s="5" t="str">
        <x:v>Combining the concept of "blue-chip" companies (established, reliable, and well-known)</x:v>
      </x:c>
      <x:c r="L326" s="5" t="str">
        <x:v>No sector tags assigned; see description</x:v>
      </x:c>
      <x:c r="M326" s="7" t="d">
        <x:v>2026-08-11T00:00:00.000Z</x:v>
      </x:c>
      <x:c r="N326" s="8" t="str">
        <x:v>https://www.smallcase.com/smallcase/sip-in-large-cap(under-valued-high-dividend)-STBAMO_0003</x:v>
      </x:c>
      <x:c r="O326" s="4" t="str">
        <x:v>STBAMO_0003</x:v>
      </x:c>
      <x:c r="P326" s="5" t="str">
        <x:v>Diversified; sector mandate not specified</x:v>
      </x:c>
    </x:row>
    <x:row r="327" ht="60" customHeight="1">
      <x:c r="A327" s="4" t="n">
        <x:v>326</x:v>
      </x:c>
      <x:c r="B327" s="5" t="str">
        <x:v>Pocket Money Investing Theme</x:v>
      </x:c>
      <x:c r="C327" s="5" t="str">
        <x:v>Ethical Advisers</x:v>
      </x:c>
      <x:c r="D327" s="5" t="str">
        <x:v>Diversified / strategy</x:v>
      </x:c>
      <x:c r="E327" s="5" t="str">
        <x:v>No specific industry mandate identified</x:v>
      </x:c>
      <x:c r="F327" s="5" t="str">
        <x:v>Other / not specified</x:v>
      </x:c>
      <x:c r="G327" s="6" t="n">
        <x:v>41927</x:v>
      </x:c>
      <x:c r="H327" s="4" t="str">
        <x:v>High</x:v>
      </x:c>
      <x:c r="I327" s="4" t="str">
        <x:v>Fee based</x:v>
      </x:c>
      <x:c r="J327" s="6" t="n">
        <x:v>124</x:v>
      </x:c>
      <x:c r="K327" s="5" t="str">
        <x:v>Now, anyone can BUY SHARES! Ideal for intelligent, small basket/SIP Investing</x:v>
      </x:c>
      <x:c r="L327" s="5" t="str">
        <x:v>No sector tags assigned; see description</x:v>
      </x:c>
      <x:c r="M327" s="7" t="d">
        <x:v>2026-08-24T00:00:00.000Z</x:v>
      </x:c>
      <x:c r="N327" s="8" t="str">
        <x:v>https://www.smallcase.com/smallcase/pocket-money-investing-EHANM_0003</x:v>
      </x:c>
      <x:c r="O327" s="4" t="str">
        <x:v>EHANM_0003</x:v>
      </x:c>
      <x:c r="P327" s="5" t="str">
        <x:v>Diversified; sector mandate not specified</x:v>
      </x:c>
    </x:row>
    <x:row r="328" ht="60" customHeight="1">
      <x:c r="A328" s="4" t="n">
        <x:v>327</x:v>
      </x:c>
      <x:c r="B328" s="5" t="str">
        <x:v>Wright Smallcaps Model</x:v>
      </x:c>
      <x:c r="C328" s="5" t="str">
        <x:v>Wright Research</x:v>
      </x:c>
      <x:c r="D328" s="5" t="str">
        <x:v>Diversified / strategy</x:v>
      </x:c>
      <x:c r="E328" s="5" t="str">
        <x:v>No specific industry mandate identified</x:v>
      </x:c>
      <x:c r="F328" s="5" t="str">
        <x:v>Other / not specified</x:v>
      </x:c>
      <x:c r="G328" s="6" t="n">
        <x:v>96559</x:v>
      </x:c>
      <x:c r="H328" s="4" t="str">
        <x:v>High</x:v>
      </x:c>
      <x:c r="I328" s="4" t="str">
        <x:v>Fee based</x:v>
      </x:c>
      <x:c r="J328" s="6" t="n">
        <x:v>600</x:v>
      </x:c>
      <x:c r="K328" s="5" t="str">
        <x:v>Small Stocks, Big Potential: Unleash the Wright Smallcaps Revolution.</x:v>
      </x:c>
      <x:c r="L328" s="5" t="str">
        <x:v>No sector tags assigned; see description</x:v>
      </x:c>
      <x:c r="M328" s="7" t="d">
        <x:v>2026-10-26T00:00:00.000Z</x:v>
      </x:c>
      <x:c r="N328" s="8" t="str">
        <x:v>https://www.smallcase.com/smallcase/wright-smallcaps-satellite-portfolio-WRTMO_0007</x:v>
      </x:c>
      <x:c r="O328" s="4" t="str">
        <x:v>WRTMO_0007</x:v>
      </x:c>
      <x:c r="P328" s="5" t="str">
        <x:v>Diversified; sector mandate not specified</x:v>
      </x:c>
    </x:row>
    <x:row r="329" ht="60" customHeight="1">
      <x:c r="A329" s="4" t="n">
        <x:v>328</x:v>
      </x:c>
      <x:c r="B329" s="5" t="str">
        <x:v>Lotusdew High Frequency Strategy Quant</x:v>
      </x:c>
      <x:c r="C329" s="5" t="str">
        <x:v>Lotusdew Wealth</x:v>
      </x:c>
      <x:c r="D329" s="5" t="str">
        <x:v>Diversified / strategy</x:v>
      </x:c>
      <x:c r="E329" s="5" t="str">
        <x:v>No specific industry mandate identified</x:v>
      </x:c>
      <x:c r="F329" s="5" t="str">
        <x:v>Quant / factor</x:v>
      </x:c>
      <x:c r="G329" s="6" t="n">
        <x:v>30628</x:v>
      </x:c>
      <x:c r="H329" s="4" t="str">
        <x:v>High</x:v>
      </x:c>
      <x:c r="I329" s="4" t="str">
        <x:v>Fee based</x:v>
      </x:c>
      <x:c r="J329" s="6" t="n">
        <x:v>1248</x:v>
      </x:c>
      <x:c r="K329" s="5" t="str">
        <x:v>Built to take advantage of high frequency macro economic and corporate action indicators</x:v>
      </x:c>
      <x:c r="L329" s="5" t="str">
        <x:v>No sector tags assigned; see description</x:v>
      </x:c>
      <x:c r="M329" s="7" t="d">
        <x:v>2026-10-19T00:00:00.000Z</x:v>
      </x:c>
      <x:c r="N329" s="8" t="str">
        <x:v>https://www.smallcase.com/smallcase/high-frequency-strategy-LTDMO_0004</x:v>
      </x:c>
      <x:c r="O329" s="4" t="str">
        <x:v>LTDMO_0004</x:v>
      </x:c>
      <x:c r="P329" s="5" t="str">
        <x:v>Diversified; sector mandate not specified</x:v>
      </x:c>
    </x:row>
    <x:row r="330" ht="60" customHeight="1">
      <x:c r="A330" s="4" t="n">
        <x:v>329</x:v>
      </x:c>
      <x:c r="B330" s="5" t="str">
        <x:v>H2 SELECT Smart Model</x:v>
      </x:c>
      <x:c r="C330" s="5" t="str">
        <x:v>H2 INVESTMENT MANAGERS</x:v>
      </x:c>
      <x:c r="D330" s="5" t="str">
        <x:v>Diversified / strategy</x:v>
      </x:c>
      <x:c r="E330" s="5" t="str">
        <x:v>No specific industry mandate identified</x:v>
      </x:c>
      <x:c r="F330" s="5" t="str">
        <x:v>Fundamental / growth / quality</x:v>
      </x:c>
      <x:c r="G330" s="6" t="n">
        <x:v>23008</x:v>
      </x:c>
      <x:c r="H330" s="4" t="str">
        <x:v>High</x:v>
      </x:c>
      <x:c r="I330" s="4" t="str">
        <x:v>Fee based</x:v>
      </x:c>
      <x:c r="J330" s="6" t="n">
        <x:v>688</x:v>
      </x:c>
      <x:c r="K330" s="5" t="str">
        <x:v>SELECT Stocks Portfolio based on Fundamental Analysis and Technical Analysis out of BSE/NSE 500.</x:v>
      </x:c>
      <x:c r="L330" s="5" t="str">
        <x:v>No sector tags assigned; see description</x:v>
      </x:c>
      <x:c r="M330" s="7" t="d">
        <x:v>2026-10-01T00:00:00.000Z</x:v>
      </x:c>
      <x:c r="N330" s="8" t="str">
        <x:v>https://www.smallcase.com/smallcase/h2-sandp-bse500-top-15-HINMMO_0003</x:v>
      </x:c>
      <x:c r="O330" s="4" t="str">
        <x:v>HINMMO_0003</x:v>
      </x:c>
      <x:c r="P330" s="5" t="str">
        <x:v>Diversified; sector mandate not specified</x:v>
      </x:c>
    </x:row>
    <x:row r="331" ht="60" customHeight="1">
      <x:c r="A331" s="4" t="n">
        <x:v>330</x:v>
      </x:c>
      <x:c r="B331" s="5" t="str">
        <x:v>Mi25 Smallcap Momentum Model</x:v>
      </x:c>
      <x:c r="C331" s="5" t="str">
        <x:v>Weekend Investing</x:v>
      </x:c>
      <x:c r="D331" s="5" t="str">
        <x:v>Diversified / strategy</x:v>
      </x:c>
      <x:c r="E331" s="5" t="str">
        <x:v>No specific industry mandate identified</x:v>
      </x:c>
      <x:c r="F331" s="5" t="str">
        <x:v>Momentum / trend</x:v>
      </x:c>
      <x:c r="G331" s="6" t="n">
        <x:v>199936</x:v>
      </x:c>
      <x:c r="H331" s="4" t="str">
        <x:v>High</x:v>
      </x:c>
      <x:c r="I331" s="4" t="str">
        <x:v>Fee based</x:v>
      </x:c>
      <x:c r="J331" s="6" t="n">
        <x:v>1249</x:v>
      </x:c>
      <x:c r="K331" s="5" t="str">
        <x:v>25 Strongest stocks from the liquid Smallcap Universe | Good for HNIs | Weekly rebalanced</x:v>
      </x:c>
      <x:c r="L331" s="5" t="str">
        <x:v>No sector tags assigned; see description</x:v>
      </x:c>
      <x:c r="M331" s="7" t="d">
        <x:v>2026-10-26T00:00:00.000Z</x:v>
      </x:c>
      <x:c r="N331" s="8" t="str">
        <x:v>https://www.smallcase.com/smallcase/mi25-WKIMO_0008</x:v>
      </x:c>
      <x:c r="O331" s="4" t="str">
        <x:v>WKIMO_0008</x:v>
      </x:c>
      <x:c r="P331" s="5" t="str">
        <x:v>Diversified; sector mandate not specified</x:v>
      </x:c>
    </x:row>
    <x:row r="332" ht="60" customHeight="1">
      <x:c r="A332" s="4" t="n">
        <x:v>331</x:v>
      </x:c>
      <x:c r="B332" s="5" t="str">
        <x:v>Selected Midcap Weekly SIPS Fundamental</x:v>
      </x:c>
      <x:c r="C332" s="5" t="str">
        <x:v>SUMAN SHANDIL</x:v>
      </x:c>
      <x:c r="D332" s="5" t="str">
        <x:v>Diversified / strategy</x:v>
      </x:c>
      <x:c r="E332" s="5" t="str">
        <x:v>No specific industry mandate identified</x:v>
      </x:c>
      <x:c r="F332" s="5" t="str">
        <x:v>Fundamental / growth / quality</x:v>
      </x:c>
      <x:c r="G332" s="6" t="n">
        <x:v>22654</x:v>
      </x:c>
      <x:c r="H332" s="4" t="str">
        <x:v>High</x:v>
      </x:c>
      <x:c r="I332" s="4" t="str">
        <x:v>Fee based</x:v>
      </x:c>
      <x:c r="J332" s="6" t="n">
        <x:v>516</x:v>
      </x:c>
      <x:c r="K332" s="5" t="str">
        <x:v>This smallcase contains quality stocks available at attractive valuation and discount to their peers</x:v>
      </x:c>
      <x:c r="L332" s="5" t="str">
        <x:v>No sector tags assigned; see description</x:v>
      </x:c>
      <x:c r="M332" s="7" t="d">
        <x:v>2026-09-30T00:00:00.000Z</x:v>
      </x:c>
      <x:c r="N332" s="8" t="str">
        <x:v>https://www.smallcase.com/smallcase/good-quality-growth-stocks-SUSHMO_0008</x:v>
      </x:c>
      <x:c r="O332" s="4" t="str">
        <x:v>SUSHMO_0008</x:v>
      </x:c>
      <x:c r="P332" s="5" t="str">
        <x:v>Diversified; sector mandate not specified</x:v>
      </x:c>
    </x:row>
    <x:row r="333" ht="60" customHeight="1">
      <x:c r="A333" s="4" t="n">
        <x:v>332</x:v>
      </x:c>
      <x:c r="B333" s="5" t="str">
        <x:v>GI Flexicap Super Achievers Momentum Model</x:v>
      </x:c>
      <x:c r="C333" s="5" t="str">
        <x:v>Growth Investing</x:v>
      </x:c>
      <x:c r="D333" s="5" t="str">
        <x:v>Diversified / strategy</x:v>
      </x:c>
      <x:c r="E333" s="5" t="str">
        <x:v>No specific industry mandate identified</x:v>
      </x:c>
      <x:c r="F333" s="5" t="str">
        <x:v>Momentum / trend</x:v>
      </x:c>
      <x:c r="G333" s="6" t="n">
        <x:v>111109</x:v>
      </x:c>
      <x:c r="H333" s="4" t="str">
        <x:v>High</x:v>
      </x:c>
      <x:c r="I333" s="4" t="str">
        <x:v>Fee based</x:v>
      </x:c>
      <x:c r="J333" s="6" t="n">
        <x:v>870</x:v>
      </x:c>
      <x:c r="K333" s="5" t="str">
        <x:v>FlexiCap 10-stock portfolio among the Nifty 500 Companies.</x:v>
      </x:c>
      <x:c r="L333" s="5" t="str">
        <x:v>No sector tags assigned; see description</x:v>
      </x:c>
      <x:c r="M333" s="7" t="d">
        <x:v>2026-10-23T00:00:00.000Z</x:v>
      </x:c>
      <x:c r="N333" s="8" t="str">
        <x:v>https://www.smallcase.com/smallcase/gi-super-achievers-GRINMO_0001</x:v>
      </x:c>
      <x:c r="O333" s="4" t="str">
        <x:v>GRINMO_0001</x:v>
      </x:c>
      <x:c r="P333" s="5" t="str">
        <x:v>Diversified; sector mandate not specified</x:v>
      </x:c>
    </x:row>
    <x:row r="334" ht="60" customHeight="1">
      <x:c r="A334" s="4" t="n">
        <x:v>333</x:v>
      </x:c>
      <x:c r="B334" s="5" t="str">
        <x:v>VALUE DEALS Fundamental</x:v>
      </x:c>
      <x:c r="C334" s="5" t="str">
        <x:v>PVR Advisory</x:v>
      </x:c>
      <x:c r="D334" s="5" t="str">
        <x:v>Diversified / strategy</x:v>
      </x:c>
      <x:c r="E334" s="5" t="str">
        <x:v>No specific industry mandate identified</x:v>
      </x:c>
      <x:c r="F334" s="5" t="str">
        <x:v>Value / contrarian</x:v>
      </x:c>
      <x:c r="G334" s="6" t="n">
        <x:v>9362</x:v>
      </x:c>
      <x:c r="H334" s="4" t="str">
        <x:v>High</x:v>
      </x:c>
      <x:c r="I334" s="4" t="str">
        <x:v>Fee based</x:v>
      </x:c>
      <x:c r="J334" s="6" t="n">
        <x:v>666</x:v>
      </x:c>
      <x:c r="K334" s="5" t="str">
        <x:v>Collection of Few Undervalued Companies that are Fundamentally Very Strong.</x:v>
      </x:c>
      <x:c r="L334" s="5" t="str">
        <x:v>No sector tags assigned; see description</x:v>
      </x:c>
      <x:c r="M334" s="7" t="d">
        <x:v>2026-03-30T00:00:00.000Z</x:v>
      </x:c>
      <x:c r="N334" s="8" t="str">
        <x:v>https://www.smallcase.com/smallcase/value-deals-PVRAMO_0003</x:v>
      </x:c>
      <x:c r="O334" s="4" t="str">
        <x:v>PVRAMO_0003</x:v>
      </x:c>
      <x:c r="P334" s="5" t="str">
        <x:v>Diversified; sector mandate not specified</x:v>
      </x:c>
    </x:row>
    <x:row r="335" ht="60" customHeight="1">
      <x:c r="A335" s="4" t="n">
        <x:v>334</x:v>
      </x:c>
      <x:c r="B335" s="5" t="str">
        <x:v>Quantamental - Q30 Quant</x:v>
      </x:c>
      <x:c r="C335" s="5" t="str">
        <x:v>Intelsense</x:v>
      </x:c>
      <x:c r="D335" s="5" t="str">
        <x:v>Diversified / strategy</x:v>
      </x:c>
      <x:c r="E335" s="5" t="str">
        <x:v>No specific industry mandate identified</x:v>
      </x:c>
      <x:c r="F335" s="5" t="str">
        <x:v>Momentum / trend</x:v>
      </x:c>
      <x:c r="G335" s="6" t="n">
        <x:v>290729</x:v>
      </x:c>
      <x:c r="H335" s="4" t="str">
        <x:v>High</x:v>
      </x:c>
      <x:c r="I335" s="4" t="str">
        <x:v>Fee based</x:v>
      </x:c>
      <x:c r="J335" s="6" t="n">
        <x:v>1475</x:v>
      </x:c>
      <x:c r="K335" s="5" t="str">
        <x:v>Quantitative Relative Momentum. Universe: NSE 750. Rebalanced monthly.</x:v>
      </x:c>
      <x:c r="L335" s="5" t="str">
        <x:v>No sector tags assigned; see description</x:v>
      </x:c>
      <x:c r="M335" s="7" t="d">
        <x:v>2026-10-06T00:00:00.000Z</x:v>
      </x:c>
      <x:c r="N335" s="8" t="str">
        <x:v>https://www.smallcase.com/smallcase/quantamental-q30-INSMO_0003</x:v>
      </x:c>
      <x:c r="O335" s="4" t="str">
        <x:v>INSMO_0003</x:v>
      </x:c>
      <x:c r="P335" s="5" t="str">
        <x:v>Diversified; sector mandate not specified</x:v>
      </x:c>
    </x:row>
    <x:row r="336" ht="60" customHeight="1">
      <x:c r="A336" s="4" t="n">
        <x:v>335</x:v>
      </x:c>
      <x:c r="B336" s="5" t="str">
        <x:v>Evertime Portfolio Asset Fundamental</x:v>
      </x:c>
      <x:c r="C336" s="5" t="str">
        <x:v>stockbox</x:v>
      </x:c>
      <x:c r="D336" s="5" t="str">
        <x:v>Diversified / strategy</x:v>
      </x:c>
      <x:c r="E336" s="5" t="str">
        <x:v>No specific industry mandate identified</x:v>
      </x:c>
      <x:c r="F336" s="5" t="str">
        <x:v>Fundamental / growth / quality</x:v>
      </x:c>
      <x:c r="G336" s="6" t="n">
        <x:v>45959</x:v>
      </x:c>
      <x:c r="H336" s="4" t="str">
        <x:v>High</x:v>
      </x:c>
      <x:c r="I336" s="4" t="str">
        <x:v>Fee based</x:v>
      </x:c>
      <x:c r="J336" s="6" t="n">
        <x:v>580</x:v>
      </x:c>
      <x:c r="K336" s="5" t="str">
        <x:v>By investing in this an investor chooses the large cap companies those are well established.</x:v>
      </x:c>
      <x:c r="L336" s="5" t="str">
        <x:v>No sector tags assigned; see description</x:v>
      </x:c>
      <x:c r="M336" s="7" t="d">
        <x:v>2026-10-15T00:00:00.000Z</x:v>
      </x:c>
      <x:c r="N336" s="8" t="str">
        <x:v>https://www.smallcase.com/smallcase/evergreen-portfolio-STBXMO_0006</x:v>
      </x:c>
      <x:c r="O336" s="4" t="str">
        <x:v>STBXMO_0006</x:v>
      </x:c>
      <x:c r="P336" s="5" t="str">
        <x:v>Diversified; sector mandate not specified</x:v>
      </x:c>
    </x:row>
    <x:row r="337" ht="60" customHeight="1">
      <x:c r="A337" s="4" t="n">
        <x:v>336</x:v>
      </x:c>
      <x:c r="B337" s="5" t="str">
        <x:v>Momentum Monthly rebalance Model</x:v>
      </x:c>
      <x:c r="C337" s="5" t="str">
        <x:v>Finansys</x:v>
      </x:c>
      <x:c r="D337" s="5" t="str">
        <x:v>Diversified / strategy</x:v>
      </x:c>
      <x:c r="E337" s="5" t="str">
        <x:v>No specific industry mandate identified</x:v>
      </x:c>
      <x:c r="F337" s="5" t="str">
        <x:v>Momentum / trend</x:v>
      </x:c>
      <x:c r="G337" s="6" t="n">
        <x:v>11541</x:v>
      </x:c>
      <x:c r="H337" s="4" t="str">
        <x:v>High</x:v>
      </x:c>
      <x:c r="I337" s="4" t="str">
        <x:v>Fee based</x:v>
      </x:c>
      <x:c r="J337" s="6" t="n">
        <x:v>549</x:v>
      </x:c>
      <x:c r="K337" s="5" t="str">
        <x:v>Rebalanced monthly and exited if they fall below the predefined thresholds</x:v>
      </x:c>
      <x:c r="L337" s="5" t="str">
        <x:v>No sector tags assigned; see description</x:v>
      </x:c>
      <x:c r="M337" s="7" t="d">
        <x:v>2026-10-05T00:00:00.000Z</x:v>
      </x:c>
      <x:c r="N337" s="8" t="str">
        <x:v>https://www.smallcase.com/smallcase/multi-factor-investment-model-monthly-rebalanc-FNNSMO_0002</x:v>
      </x:c>
      <x:c r="O337" s="4" t="str">
        <x:v>FNNSMO_0002</x:v>
      </x:c>
      <x:c r="P337" s="5" t="str">
        <x:v>Diversified; sector mandate not specified</x:v>
      </x:c>
    </x:row>
    <x:row r="338" ht="60" customHeight="1">
      <x:c r="A338" s="4" t="n">
        <x:v>337</x:v>
      </x:c>
      <x:c r="B338" s="5" t="str">
        <x:v>India Mobility Theme</x:v>
      </x:c>
      <x:c r="C338" s="5" t="str">
        <x:v>Quantace Research</x:v>
      </x:c>
      <x:c r="D338" s="5" t="str">
        <x:v>Sector / industry theme</x:v>
      </x:c>
      <x:c r="E338" s="5" t="str">
        <x:v>Automobiles, EVs &amp; components; Logistics, transport &amp; aviation</x:v>
      </x:c>
      <x:c r="F338" s="5" t="str">
        <x:v>Other / not specified</x:v>
      </x:c>
      <x:c r="G338" s="6" t="n">
        <x:v>39333</x:v>
      </x:c>
      <x:c r="H338" s="4" t="str">
        <x:v>High</x:v>
      </x:c>
      <x:c r="I338" s="4" t="str">
        <x:v>Fee based</x:v>
      </x:c>
      <x:c r="J338" s="6" t="n">
        <x:v>675</x:v>
      </x:c>
      <x:c r="K338" s="5" t="str">
        <x:v>Driving India’s Transportation and Mobility Revolution</x:v>
      </x:c>
      <x:c r="L338" s="5" t="str">
        <x:v>Title and listing description</x:v>
      </x:c>
      <x:c r="M338" s="7" t="d">
        <x:v>2026-10-26T00:00:00.000Z</x:v>
      </x:c>
      <x:c r="N338" s="8" t="str">
        <x:v>https://www.smallcase.com/smallcase/quantace-mobility-QURENM_0006</x:v>
      </x:c>
      <x:c r="O338" s="4" t="str">
        <x:v>QURENM_0006</x:v>
      </x:c>
      <x:c r="P338" s="5" t="str"/>
    </x:row>
    <x:row r="339" ht="60" customHeight="1">
      <x:c r="A339" s="4" t="n">
        <x:v>338</x:v>
      </x:c>
      <x:c r="B339" s="5" t="str">
        <x:v>Service Stars Tracker</x:v>
      </x:c>
      <x:c r="C339" s="5" t="str">
        <x:v>Quantace Research</x:v>
      </x:c>
      <x:c r="D339" s="5" t="str">
        <x:v>Sector / industry theme</x:v>
      </x:c>
      <x:c r="E339" s="5" t="str">
        <x:v>Diversified services; IT, software &amp; digital platforms; Telecom &amp; media; Financial services &amp; fintech; Power, utilities &amp; energy</x:v>
      </x:c>
      <x:c r="F339" s="5" t="str">
        <x:v>Other / not specified</x:v>
      </x:c>
      <x:c r="G339" s="6" t="n">
        <x:v>68581</x:v>
      </x:c>
      <x:c r="H339" s="4" t="str">
        <x:v>High</x:v>
      </x:c>
      <x:c r="I339" s="4" t="str">
        <x:v>Fee based</x:v>
      </x:c>
      <x:c r="J339" s="6" t="n">
        <x:v>675</x:v>
      </x:c>
      <x:c r="K339" s="5" t="str">
        <x:v>Investing in India's Leading Service Sector</x:v>
      </x:c>
      <x:c r="L339" s="5" t="str">
        <x:v>Public detail-page investment rationale</x:v>
      </x:c>
      <x:c r="M339" s="7" t="d">
        <x:v>2026-10-26T00:00:00.000Z</x:v>
      </x:c>
      <x:c r="N339" s="8" t="str">
        <x:v>https://www.smallcase.com/smallcase/quantace-service-QURENM_0007</x:v>
      </x:c>
      <x:c r="O339" s="4" t="str">
        <x:v>QURENM_0007</x:v>
      </x:c>
      <x:c r="P339" s="5" t="str"/>
    </x:row>
    <x:row r="340" ht="60" customHeight="1">
      <x:c r="A340" s="4" t="n">
        <x:v>341</x:v>
      </x:c>
      <x:c r="B340" s="5" t="str">
        <x:v>Chetak Momentum Factor Model</x:v>
      </x:c>
      <x:c r="C340" s="5" t="str">
        <x:v>Quantace Research</x:v>
      </x:c>
      <x:c r="D340" s="5" t="str">
        <x:v>Diversified / strategy</x:v>
      </x:c>
      <x:c r="E340" s="5" t="str">
        <x:v>No specific industry mandate identified</x:v>
      </x:c>
      <x:c r="F340" s="5" t="str">
        <x:v>Momentum / trend</x:v>
      </x:c>
      <x:c r="G340" s="6" t="n">
        <x:v>40236</x:v>
      </x:c>
      <x:c r="H340" s="4" t="str">
        <x:v>High</x:v>
      </x:c>
      <x:c r="I340" s="4" t="str">
        <x:v>Fee based</x:v>
      </x:c>
      <x:c r="J340" s="6" t="n">
        <x:v>700</x:v>
      </x:c>
      <x:c r="K340" s="5" t="str">
        <x:v>Leading the Way with Smart Momentum Rec. 5+ Lakhs</x:v>
      </x:c>
      <x:c r="L340" s="5" t="str">
        <x:v>No sector tags assigned; see description</x:v>
      </x:c>
      <x:c r="M340" s="7" t="d">
        <x:v>2026-10-26T00:00:00.000Z</x:v>
      </x:c>
      <x:c r="N340" s="8" t="str">
        <x:v>https://www.smallcase.com/smallcase/dynamite-QUREMO_0035</x:v>
      </x:c>
      <x:c r="O340" s="4" t="str">
        <x:v>QUREMO_0035</x:v>
      </x:c>
      <x:c r="P340" s="5" t="str">
        <x:v>Diversified; sector mandate not specified</x:v>
      </x:c>
    </x:row>
    <x:row r="341" ht="60" customHeight="1">
      <x:c r="A341" s="4" t="n">
        <x:v>342</x:v>
      </x:c>
      <x:c r="B341" s="5" t="str">
        <x:v>Dividend Yielding SIP ideas Income Model</x:v>
      </x:c>
      <x:c r="C341" s="5" t="str">
        <x:v>SUMAN SHANDIL</x:v>
      </x:c>
      <x:c r="D341" s="5" t="str">
        <x:v>Diversified / strategy</x:v>
      </x:c>
      <x:c r="E341" s="5" t="str">
        <x:v>No specific industry mandate identified</x:v>
      </x:c>
      <x:c r="F341" s="5" t="str">
        <x:v>Dividend / income</x:v>
      </x:c>
      <x:c r="G341" s="6" t="n">
        <x:v>49423</x:v>
      </x:c>
      <x:c r="H341" s="4" t="str">
        <x:v>High</x:v>
      </x:c>
      <x:c r="I341" s="4" t="str">
        <x:v>Fee based</x:v>
      </x:c>
      <x:c r="J341" s="6" t="n">
        <x:v>516</x:v>
      </x:c>
      <x:c r="K341" s="5" t="str">
        <x:v>Suitable for investors looking for dividend paying stocks and keep a long term view.</x:v>
      </x:c>
      <x:c r="L341" s="5" t="str">
        <x:v>No sector tags assigned; see description</x:v>
      </x:c>
      <x:c r="M341" s="7" t="d">
        <x:v>2026-09-30T00:00:00.000Z</x:v>
      </x:c>
      <x:c r="N341" s="8" t="str">
        <x:v>https://www.smallcase.com/smallcase/growth-dividend-yielding-smallcase-SUSHMO_0009</x:v>
      </x:c>
      <x:c r="O341" s="4" t="str">
        <x:v>SUSHMO_0009</x:v>
      </x:c>
      <x:c r="P341" s="5" t="str">
        <x:v>Diversified; sector mandate not specified</x:v>
      </x:c>
    </x:row>
    <x:row r="342" ht="60" customHeight="1">
      <x:c r="A342" s="4" t="n">
        <x:v>343</x:v>
      </x:c>
      <x:c r="B342" s="5" t="str">
        <x:v>The Crown Jewels Theme</x:v>
      </x:c>
      <x:c r="C342" s="5" t="str">
        <x:v>Ethical Advisers</x:v>
      </x:c>
      <x:c r="D342" s="5" t="str">
        <x:v>Diversified / strategy</x:v>
      </x:c>
      <x:c r="E342" s="5" t="str">
        <x:v>No specific industry mandate identified</x:v>
      </x:c>
      <x:c r="F342" s="5" t="str">
        <x:v>Other / not specified</x:v>
      </x:c>
      <x:c r="G342" s="6" t="n">
        <x:v>383423</x:v>
      </x:c>
      <x:c r="H342" s="4" t="str">
        <x:v>Medium</x:v>
      </x:c>
      <x:c r="I342" s="4" t="str">
        <x:v>Fee based</x:v>
      </x:c>
      <x:c r="J342" s="6" t="n">
        <x:v>3150</x:v>
      </x:c>
      <x:c r="K342" s="5" t="str">
        <x:v>India Inc's crème de la crème businesses on a platter</x:v>
      </x:c>
      <x:c r="L342" s="5" t="str">
        <x:v>No sector tags assigned; see description</x:v>
      </x:c>
      <x:c r="M342" s="7" t="d">
        <x:v>2026-10-21T00:00:00.000Z</x:v>
      </x:c>
      <x:c r="N342" s="8" t="str">
        <x:v>https://www.smallcase.com/smallcase/the-crown-jewels-EHANM_0005</x:v>
      </x:c>
      <x:c r="O342" s="4" t="str">
        <x:v>EHANM_0005</x:v>
      </x:c>
      <x:c r="P342" s="5" t="str">
        <x:v>Diversified; sector mandate not specified</x:v>
      </x:c>
    </x:row>
    <x:row r="343" ht="60" customHeight="1">
      <x:c r="A343" s="4" t="n">
        <x:v>344</x:v>
      </x:c>
      <x:c r="B343" s="5" t="str">
        <x:v>Hidden Gems Fundamental</x:v>
      </x:c>
      <x:c r="C343" s="5" t="str">
        <x:v>InvestorAi</x:v>
      </x:c>
      <x:c r="D343" s="5" t="str">
        <x:v>Diversified / strategy</x:v>
      </x:c>
      <x:c r="E343" s="5" t="str">
        <x:v>No specific industry mandate identified</x:v>
      </x:c>
      <x:c r="F343" s="5" t="str">
        <x:v>Fundamental / growth / quality</x:v>
      </x:c>
      <x:c r="G343" s="6" t="n">
        <x:v>43704</x:v>
      </x:c>
      <x:c r="H343" s="4" t="str">
        <x:v>High</x:v>
      </x:c>
      <x:c r="I343" s="4" t="str">
        <x:v>Fee based</x:v>
      </x:c>
      <x:c r="J343" s="6" t="n">
        <x:v>678</x:v>
      </x:c>
      <x:c r="K343" s="5" t="str">
        <x:v>Curated portfolio of fundamentally strong, lesser-known stocks aiming for long-term outperformance.</x:v>
      </x:c>
      <x:c r="L343" s="5" t="str">
        <x:v>No sector tags assigned; see description</x:v>
      </x:c>
      <x:c r="M343" s="7" t="d">
        <x:v>2026-10-27T00:00:00.000Z</x:v>
      </x:c>
      <x:c r="N343" s="8" t="str">
        <x:v>https://www.smallcase.com/smallcase/value-investing-BWEMO_0004</x:v>
      </x:c>
      <x:c r="O343" s="4" t="str">
        <x:v>BWEMO_0004</x:v>
      </x:c>
      <x:c r="P343" s="5" t="str">
        <x:v>Diversified; sector mandate not specified</x:v>
      </x:c>
    </x:row>
    <x:row r="344" ht="60" customHeight="1">
      <x:c r="A344" s="4" t="n">
        <x:v>345</x:v>
      </x:c>
      <x:c r="B344" s="5" t="str">
        <x:v>Underdogs too will Shine Fundamental</x:v>
      </x:c>
      <x:c r="C344" s="5" t="str">
        <x:v>Ambareesh Baliga</x:v>
      </x:c>
      <x:c r="D344" s="5" t="str">
        <x:v>Diversified / strategy</x:v>
      </x:c>
      <x:c r="E344" s="5" t="str">
        <x:v>No specific industry mandate identified</x:v>
      </x:c>
      <x:c r="F344" s="5" t="str">
        <x:v>Fundamental / growth / quality</x:v>
      </x:c>
      <x:c r="G344" s="6" t="n">
        <x:v>31595</x:v>
      </x:c>
      <x:c r="H344" s="4" t="str">
        <x:v>Medium</x:v>
      </x:c>
      <x:c r="I344" s="4" t="str">
        <x:v>Fee based</x:v>
      </x:c>
      <x:c r="J344" s="6" t="n">
        <x:v>688</x:v>
      </x:c>
      <x:c r="K344" s="5" t="str">
        <x:v>Capturing Alpha from Non-Belief to Dis-belief - Rec Amt 4-5L</x:v>
      </x:c>
      <x:c r="L344" s="5" t="str">
        <x:v>No sector tags assigned; see description</x:v>
      </x:c>
      <x:c r="M344" s="7" t="d">
        <x:v>2026-01-13T00:00:00.000Z</x:v>
      </x:c>
      <x:c r="N344" s="8" t="str">
        <x:v>https://www.smallcase.com/smallcase/underdogs-too-will-shine-AMBANM_0001</x:v>
      </x:c>
      <x:c r="O344" s="4" t="str">
        <x:v>AMBANM_0001</x:v>
      </x:c>
      <x:c r="P344" s="5" t="str">
        <x:v>Diversified; sector mandate not specified</x:v>
      </x:c>
    </x:row>
    <x:row r="345" ht="60" customHeight="1">
      <x:c r="A345" s="4" t="n">
        <x:v>346</x:v>
      </x:c>
      <x:c r="B345" s="5" t="str">
        <x:v>CUBIT FF - Multicap Growth Model</x:v>
      </x:c>
      <x:c r="C345" s="5" t="str">
        <x:v>Modulor Capital</x:v>
      </x:c>
      <x:c r="D345" s="5" t="str">
        <x:v>Diversified / strategy</x:v>
      </x:c>
      <x:c r="E345" s="5" t="str">
        <x:v>No specific industry mandate identified</x:v>
      </x:c>
      <x:c r="F345" s="5" t="str">
        <x:v>Quant / factor</x:v>
      </x:c>
      <x:c r="G345" s="6" t="n">
        <x:v>100000</x:v>
      </x:c>
      <x:c r="H345" s="4" t="str">
        <x:v>Medium</x:v>
      </x:c>
      <x:c r="I345" s="4" t="str">
        <x:v>Fee based</x:v>
      </x:c>
      <x:c r="J345" s="6" t="n">
        <x:v>2620</x:v>
      </x:c>
      <x:c r="K345" s="5" t="str">
        <x:v>Growth Investing | Quantamental Diversified-equity | Multi-cap Universe | Monthly Review</x:v>
      </x:c>
      <x:c r="L345" s="5" t="str">
        <x:v>No sector tags assigned; see description</x:v>
      </x:c>
      <x:c r="M345" s="7" t="d">
        <x:v>2026-10-26T00:00:00.000Z</x:v>
      </x:c>
      <x:c r="N345" s="8" t="str">
        <x:v>https://www.smallcase.com/smallcase/ff-cubit-MODMO_0051</x:v>
      </x:c>
      <x:c r="O345" s="4" t="str">
        <x:v>MODMO_0051</x:v>
      </x:c>
      <x:c r="P345" s="5" t="str">
        <x:v>Diversified; sector mandate not specified</x:v>
      </x:c>
    </x:row>
    <x:row r="346" ht="60" customHeight="1">
      <x:c r="A346" s="4" t="n">
        <x:v>347</x:v>
      </x:c>
      <x:c r="B346" s="5" t="str">
        <x:v>PALM FF - Multicap Value Model</x:v>
      </x:c>
      <x:c r="C346" s="5" t="str">
        <x:v>Modulor Capital</x:v>
      </x:c>
      <x:c r="D346" s="5" t="str">
        <x:v>Diversified / strategy</x:v>
      </x:c>
      <x:c r="E346" s="5" t="str">
        <x:v>No specific industry mandate identified</x:v>
      </x:c>
      <x:c r="F346" s="5" t="str">
        <x:v>Value / contrarian</x:v>
      </x:c>
      <x:c r="G346" s="6" t="n">
        <x:v>100000</x:v>
      </x:c>
      <x:c r="H346" s="4" t="str">
        <x:v>Medium</x:v>
      </x:c>
      <x:c r="I346" s="4" t="str">
        <x:v>Fee based</x:v>
      </x:c>
      <x:c r="J346" s="6" t="n">
        <x:v>2620</x:v>
      </x:c>
      <x:c r="K346" s="5" t="str">
        <x:v>Value Investing | Quantamental Diversified-equity | Multi-cap Universe | Quarterly Review</x:v>
      </x:c>
      <x:c r="L346" s="5" t="str">
        <x:v>No sector tags assigned; see description</x:v>
      </x:c>
      <x:c r="M346" s="7" t="d">
        <x:v>2026-10-26T00:00:00.000Z</x:v>
      </x:c>
      <x:c r="N346" s="8" t="str">
        <x:v>https://www.smallcase.com/smallcase/ff-palm-MODMO_0052</x:v>
      </x:c>
      <x:c r="O346" s="4" t="str">
        <x:v>MODMO_0052</x:v>
      </x:c>
      <x:c r="P346" s="5" t="str">
        <x:v>Diversified; sector mandate not specified</x:v>
      </x:c>
    </x:row>
    <x:row r="347" ht="60" customHeight="1">
      <x:c r="A347" s="4" t="n">
        <x:v>348</x:v>
      </x:c>
      <x:c r="B347" s="5" t="str">
        <x:v>DIGIT FF - Multicap Sentiment Model</x:v>
      </x:c>
      <x:c r="C347" s="5" t="str">
        <x:v>Modulor Capital</x:v>
      </x:c>
      <x:c r="D347" s="5" t="str">
        <x:v>Diversified / strategy</x:v>
      </x:c>
      <x:c r="E347" s="5" t="str">
        <x:v>No specific industry mandate identified</x:v>
      </x:c>
      <x:c r="F347" s="5" t="str">
        <x:v>Quant / factor</x:v>
      </x:c>
      <x:c r="G347" s="6" t="n">
        <x:v>100000</x:v>
      </x:c>
      <x:c r="H347" s="4" t="str">
        <x:v>Medium</x:v>
      </x:c>
      <x:c r="I347" s="4" t="str">
        <x:v>Fee based</x:v>
      </x:c>
      <x:c r="J347" s="6" t="n">
        <x:v>2620</x:v>
      </x:c>
      <x:c r="K347" s="5" t="str">
        <x:v>Sentiment Investing | Quantamental Diversified-equity | Multi-cap Universe | Weekly Review</x:v>
      </x:c>
      <x:c r="L347" s="5" t="str">
        <x:v>No sector tags assigned; see description</x:v>
      </x:c>
      <x:c r="M347" s="7" t="d">
        <x:v>2026-10-26T00:00:00.000Z</x:v>
      </x:c>
      <x:c r="N347" s="8" t="str">
        <x:v>https://www.smallcase.com/smallcase/ff-digit-MODMO_0053</x:v>
      </x:c>
      <x:c r="O347" s="4" t="str">
        <x:v>MODMO_0053</x:v>
      </x:c>
      <x:c r="P347" s="5" t="str">
        <x:v>Diversified; sector mandate not specified</x:v>
      </x:c>
    </x:row>
    <x:row r="348" ht="60" customHeight="1">
      <x:c r="A348" s="4" t="n">
        <x:v>349</x:v>
      </x:c>
      <x:c r="B348" s="5" t="str">
        <x:v>WAVES FF - Large-Midcap Sentiment Model</x:v>
      </x:c>
      <x:c r="C348" s="5" t="str">
        <x:v>Modulor Capital</x:v>
      </x:c>
      <x:c r="D348" s="5" t="str">
        <x:v>Diversified / strategy</x:v>
      </x:c>
      <x:c r="E348" s="5" t="str">
        <x:v>No specific industry mandate identified</x:v>
      </x:c>
      <x:c r="F348" s="5" t="str">
        <x:v>Quant / factor</x:v>
      </x:c>
      <x:c r="G348" s="6" t="n">
        <x:v>113658</x:v>
      </x:c>
      <x:c r="H348" s="4" t="str">
        <x:v>Medium</x:v>
      </x:c>
      <x:c r="I348" s="4" t="str">
        <x:v>Fee based</x:v>
      </x:c>
      <x:c r="J348" s="6" t="n">
        <x:v>2620</x:v>
      </x:c>
      <x:c r="K348" s="5" t="str">
        <x:v>Sentiment Investing | Quantamental Focused-equity | Large &amp; Mid-cap Universe | Weekly Review</x:v>
      </x:c>
      <x:c r="L348" s="5" t="str">
        <x:v>No sector tags assigned; see description</x:v>
      </x:c>
      <x:c r="M348" s="7" t="d">
        <x:v>2026-10-26T00:00:00.000Z</x:v>
      </x:c>
      <x:c r="N348" s="8" t="str">
        <x:v>https://www.smallcase.com/smallcase/ff-waves-MODMO_0054</x:v>
      </x:c>
      <x:c r="O348" s="4" t="str">
        <x:v>MODMO_0054</x:v>
      </x:c>
      <x:c r="P348" s="5" t="str">
        <x:v>Diversified; sector mandate not specified</x:v>
      </x:c>
    </x:row>
    <x:row r="349" ht="60" customHeight="1">
      <x:c r="A349" s="4" t="n">
        <x:v>350</x:v>
      </x:c>
      <x:c r="B349" s="5" t="str">
        <x:v>TORNADO FF - Small-Microcap Value Model</x:v>
      </x:c>
      <x:c r="C349" s="5" t="str">
        <x:v>Modulor Capital</x:v>
      </x:c>
      <x:c r="D349" s="5" t="str">
        <x:v>Diversified / strategy</x:v>
      </x:c>
      <x:c r="E349" s="5" t="str">
        <x:v>No specific industry mandate identified</x:v>
      </x:c>
      <x:c r="F349" s="5" t="str">
        <x:v>Value / contrarian</x:v>
      </x:c>
      <x:c r="G349" s="6" t="n">
        <x:v>100000</x:v>
      </x:c>
      <x:c r="H349" s="4" t="str">
        <x:v>High</x:v>
      </x:c>
      <x:c r="I349" s="4" t="str">
        <x:v>Fee based</x:v>
      </x:c>
      <x:c r="J349" s="6" t="n">
        <x:v>2620</x:v>
      </x:c>
      <x:c r="K349" s="5" t="str">
        <x:v>Deep Value Investing | Quantamental Focused-equity | Small &amp; Micro-cap Universe | Monthly Review</x:v>
      </x:c>
      <x:c r="L349" s="5" t="str">
        <x:v>No sector tags assigned; see description</x:v>
      </x:c>
      <x:c r="M349" s="7" t="d">
        <x:v>2026-10-26T00:00:00.000Z</x:v>
      </x:c>
      <x:c r="N349" s="8" t="str">
        <x:v>https://www.smallcase.com/smallcase/ff-tornado-MODMO_0055</x:v>
      </x:c>
      <x:c r="O349" s="4" t="str">
        <x:v>MODMO_0055</x:v>
      </x:c>
      <x:c r="P349" s="5" t="str">
        <x:v>Diversified; sector mandate not specified</x:v>
      </x:c>
    </x:row>
    <x:row r="350" ht="60" customHeight="1">
      <x:c r="A350" s="4" t="n">
        <x:v>351</x:v>
      </x:c>
      <x:c r="B350" s="5" t="str">
        <x:v>MMG Manufacturing smallcase Theme</x:v>
      </x:c>
      <x:c r="C350" s="5" t="str">
        <x:v>My Money Guru</x:v>
      </x:c>
      <x:c r="D350" s="5" t="str">
        <x:v>Sector / industry theme</x:v>
      </x:c>
      <x:c r="E350" s="5" t="str">
        <x:v>Manufacturing &amp; industrials</x:v>
      </x:c>
      <x:c r="F350" s="5" t="str">
        <x:v>Other / not specified</x:v>
      </x:c>
      <x:c r="G350" s="6" t="n">
        <x:v>129429</x:v>
      </x:c>
      <x:c r="H350" s="4" t="str">
        <x:v>High</x:v>
      </x:c>
      <x:c r="I350" s="4" t="str">
        <x:v>Fee based</x:v>
      </x:c>
      <x:c r="J350" s="6" t="n">
        <x:v>5405</x:v>
      </x:c>
      <x:c r="K350" s="5" t="str">
        <x:v>Unleash India's Potential with Systematic Investing in Leading Mid &amp; Small-Cap Manufacturing Stocks.</x:v>
      </x:c>
      <x:c r="L350" s="5" t="str">
        <x:v>Title and listing description</x:v>
      </x:c>
      <x:c r="M350" s="7" t="d">
        <x:v>2026-09-30T00:00:00.000Z</x:v>
      </x:c>
      <x:c r="N350" s="8" t="str">
        <x:v>https://www.smallcase.com/smallcase/my-money-guru-manufacturing-defence-and-electronic-MYMONM_0001</x:v>
      </x:c>
      <x:c r="O350" s="4" t="str">
        <x:v>MYMONM_0001</x:v>
      </x:c>
      <x:c r="P350" s="5" t="str"/>
    </x:row>
    <x:row r="351" ht="60" customHeight="1">
      <x:c r="A351" s="4" t="n">
        <x:v>352</x:v>
      </x:c>
      <x:c r="B351" s="5" t="str">
        <x:v>MMG Green Energy &amp; EV smallcase Theme</x:v>
      </x:c>
      <x:c r="C351" s="5" t="str">
        <x:v>My Money Guru</x:v>
      </x:c>
      <x:c r="D351" s="5" t="str">
        <x:v>Sector / industry theme</x:v>
      </x:c>
      <x:c r="E351" s="5" t="str">
        <x:v>Renewables, clean energy &amp; recycling; Automobiles, EVs &amp; components</x:v>
      </x:c>
      <x:c r="F351" s="5" t="str">
        <x:v>Other / not specified</x:v>
      </x:c>
      <x:c r="G351" s="6" t="n">
        <x:v>136626</x:v>
      </x:c>
      <x:c r="H351" s="4" t="str">
        <x:v>High</x:v>
      </x:c>
      <x:c r="I351" s="4" t="str">
        <x:v>Fee based</x:v>
      </x:c>
      <x:c r="J351" s="6" t="n">
        <x:v>1475</x:v>
      </x:c>
      <x:c r="K351" s="5" t="str">
        <x:v>Powering India’s future: Green Energy, EVs &amp; Recycling for long-term, sustainable wealth creation.</x:v>
      </x:c>
      <x:c r="L351" s="5" t="str">
        <x:v>Title and listing description</x:v>
      </x:c>
      <x:c r="M351" s="7" t="d">
        <x:v>2026-09-30T00:00:00.000Z</x:v>
      </x:c>
      <x:c r="N351" s="8" t="str">
        <x:v>https://www.smallcase.com/smallcase/my-money-guru-green-energy-and-electric-vehicle-MYMONM_0002</x:v>
      </x:c>
      <x:c r="O351" s="4" t="str">
        <x:v>MYMONM_0002</x:v>
      </x:c>
      <x:c r="P351" s="5" t="str"/>
    </x:row>
    <x:row r="352" ht="60" customHeight="1">
      <x:c r="A352" s="4" t="n">
        <x:v>353</x:v>
      </x:c>
      <x:c r="B352" s="5" t="str">
        <x:v>MMG Vision 2028 smallcase Theme</x:v>
      </x:c>
      <x:c r="C352" s="5" t="str">
        <x:v>My Money Guru</x:v>
      </x:c>
      <x:c r="D352" s="5" t="str">
        <x:v>Sector / industry theme</x:v>
      </x:c>
      <x:c r="E352" s="5" t="str">
        <x:v>Automobiles, EVs &amp; components; Pharma &amp; healthcare; IT, software &amp; digital platforms; Financial services &amp; fintech</x:v>
      </x:c>
      <x:c r="F352" s="5" t="str">
        <x:v>Fundamental / growth / quality</x:v>
      </x:c>
      <x:c r="G352" s="6" t="n">
        <x:v>310041</x:v>
      </x:c>
      <x:c r="H352" s="4" t="str">
        <x:v>High</x:v>
      </x:c>
      <x:c r="I352" s="4" t="str">
        <x:v>Fee based</x:v>
      </x:c>
      <x:c r="J352" s="6" t="n">
        <x:v>5405</x:v>
      </x:c>
      <x:c r="K352" s="5" t="str">
        <x:v>Ride India's next big wave: Vision 2028 – Investing in disruption, innovation, and future growth.</x:v>
      </x:c>
      <x:c r="L352" s="5" t="str">
        <x:v>Public detail-page investment rationale</x:v>
      </x:c>
      <x:c r="M352" s="7" t="d">
        <x:v>2026-02-03T00:00:00.000Z</x:v>
      </x:c>
      <x:c r="N352" s="8" t="str">
        <x:v>https://www.smallcase.com/smallcase/my-money-guru-vision-2029-smallcase-MYMONM_0003</x:v>
      </x:c>
      <x:c r="O352" s="4" t="str">
        <x:v>MYMONM_0003</x:v>
      </x:c>
      <x:c r="P352" s="5" t="str"/>
    </x:row>
    <x:row r="353" ht="60" customHeight="1">
      <x:c r="A353" s="4" t="n">
        <x:v>354</x:v>
      </x:c>
      <x:c r="B353" s="5" t="str">
        <x:v>Quiver Quant</x:v>
      </x:c>
      <x:c r="C353" s="5" t="str">
        <x:v>Intelsense</x:v>
      </x:c>
      <x:c r="D353" s="5" t="str">
        <x:v>Diversified / strategy</x:v>
      </x:c>
      <x:c r="E353" s="5" t="str">
        <x:v>No specific industry mandate identified</x:v>
      </x:c>
      <x:c r="F353" s="5" t="str">
        <x:v>Quant / factor</x:v>
      </x:c>
      <x:c r="G353" s="6" t="n">
        <x:v>500000</x:v>
      </x:c>
      <x:c r="H353" s="4" t="str">
        <x:v>High</x:v>
      </x:c>
      <x:c r="I353" s="4" t="str">
        <x:v>Not shown</x:v>
      </x:c>
      <x:c r="J353" s="6"/>
      <x:c r="K353" s="5" t="str">
        <x:v>Quiver is a collection of stocks, usually between 5-10, which are actively managed.</x:v>
      </x:c>
      <x:c r="L353" s="5" t="str">
        <x:v>No sector tags assigned; see description</x:v>
      </x:c>
      <x:c r="M353" s="7" t="d">
        <x:v>2026-10-26T00:00:00.000Z</x:v>
      </x:c>
      <x:c r="N353" s="8" t="str">
        <x:v>https://www.smallcase.com/smallcase/quiver-INSMO_0005</x:v>
      </x:c>
      <x:c r="O353" s="4" t="str">
        <x:v>INSMO_0005</x:v>
      </x:c>
      <x:c r="P353" s="5" t="str">
        <x:v>Diversified; sector mandate not specified</x:v>
      </x:c>
    </x:row>
    <x:row r="354" ht="60" customHeight="1">
      <x:c r="A354" s="4" t="n">
        <x:v>355</x:v>
      </x:c>
      <x:c r="B354" s="5" t="str">
        <x:v>Three Wise Kings Factor Model</x:v>
      </x:c>
      <x:c r="C354" s="5" t="str">
        <x:v>Solomon Investments </x:v>
      </x:c>
      <x:c r="D354" s="5" t="str">
        <x:v>Diversified / strategy</x:v>
      </x:c>
      <x:c r="E354" s="5" t="str">
        <x:v>No specific industry mandate identified</x:v>
      </x:c>
      <x:c r="F354" s="5" t="str">
        <x:v>Value / contrarian</x:v>
      </x:c>
      <x:c r="G354" s="6" t="n">
        <x:v>3043</x:v>
      </x:c>
      <x:c r="H354" s="4" t="str">
        <x:v>High</x:v>
      </x:c>
      <x:c r="I354" s="4" t="str">
        <x:v>Fee based</x:v>
      </x:c>
      <x:c r="J354" s="6" t="n">
        <x:v>558</x:v>
      </x:c>
      <x:c r="K354" s="5" t="str">
        <x:v>Active + Passive. One Market Cap ETF. Two stocks chosen based on Value and Momemtum strategies.</x:v>
      </x:c>
      <x:c r="L354" s="5" t="str">
        <x:v>No sector tags assigned; see description</x:v>
      </x:c>
      <x:c r="M354" s="7" t="d">
        <x:v>2026-09-15T00:00:00.000Z</x:v>
      </x:c>
      <x:c r="N354" s="8" t="str">
        <x:v>https://www.smallcase.com/smallcase/three-wise-kings-portfolio-SOLMO_0002</x:v>
      </x:c>
      <x:c r="O354" s="4" t="str">
        <x:v>SOLMO_0002</x:v>
      </x:c>
      <x:c r="P354" s="5" t="str">
        <x:v>Diversified; sector mandate not specified</x:v>
      </x:c>
    </x:row>
    <x:row r="355" ht="60" customHeight="1">
      <x:c r="A355" s="4" t="n">
        <x:v>356</x:v>
      </x:c>
      <x:c r="B355" s="5" t="str">
        <x:v>GVSR - Small &amp; Midcap Oportunities -Pack -1 Model</x:v>
      </x:c>
      <x:c r="C355" s="5" t="str">
        <x:v>GVSRwealth</x:v>
      </x:c>
      <x:c r="D355" s="5" t="str">
        <x:v>Diversified / strategy</x:v>
      </x:c>
      <x:c r="E355" s="5" t="str">
        <x:v>No specific industry mandate identified</x:v>
      </x:c>
      <x:c r="F355" s="5" t="str">
        <x:v>Value / contrarian</x:v>
      </x:c>
      <x:c r="G355" s="6" t="n">
        <x:v>200000</x:v>
      </x:c>
      <x:c r="H355" s="4" t="str">
        <x:v>High</x:v>
      </x:c>
      <x:c r="I355" s="4" t="str">
        <x:v>Fee based</x:v>
      </x:c>
      <x:c r="J355" s="6" t="n">
        <x:v>1233</x:v>
      </x:c>
      <x:c r="K355" s="5" t="str">
        <x:v>Focus is on Mid &amp; Small cap stocks. Growth + Value (GV) Strategies</x:v>
      </x:c>
      <x:c r="L355" s="5" t="str">
        <x:v>No sector tags assigned; see description</x:v>
      </x:c>
      <x:c r="M355" s="7" t="d">
        <x:v>2026-05-14T00:00:00.000Z</x:v>
      </x:c>
      <x:c r="N355" s="8" t="str">
        <x:v>https://www.smallcase.com/smallcase/gvsr-mid-and-smallcap-vision-2034-pack-1-GVSRTR_0008</x:v>
      </x:c>
      <x:c r="O355" s="4" t="str">
        <x:v>GVSRTR_0008</x:v>
      </x:c>
      <x:c r="P355" s="5" t="str">
        <x:v>Diversified; sector mandate not specified</x:v>
      </x:c>
    </x:row>
    <x:row r="356" ht="60" customHeight="1">
      <x:c r="A356" s="4" t="n">
        <x:v>357</x:v>
      </x:c>
      <x:c r="B356" s="5" t="str">
        <x:v>FINPIRE NextGen Bluechip Fundamental</x:v>
      </x:c>
      <x:c r="C356" s="5" t="str">
        <x:v>FINPIRE Capital Research</x:v>
      </x:c>
      <x:c r="D356" s="5" t="str">
        <x:v>Diversified / strategy</x:v>
      </x:c>
      <x:c r="E356" s="5" t="str">
        <x:v>No specific industry mandate identified</x:v>
      </x:c>
      <x:c r="F356" s="5" t="str">
        <x:v>Fundamental / growth / quality</x:v>
      </x:c>
      <x:c r="G356" s="6" t="n">
        <x:v>64163</x:v>
      </x:c>
      <x:c r="H356" s="4" t="str">
        <x:v>High</x:v>
      </x:c>
      <x:c r="I356" s="4" t="str">
        <x:v>Fee based</x:v>
      </x:c>
      <x:c r="J356" s="6" t="n">
        <x:v>1180</x:v>
      </x:c>
      <x:c r="K356" s="5" t="str">
        <x:v>Invest in high-growth, future-ready bluechip stocks with SIPs up to ₹20L for smart wealth creation.</x:v>
      </x:c>
      <x:c r="L356" s="5" t="str">
        <x:v>No sector tags assigned; see description</x:v>
      </x:c>
      <x:c r="M356" s="7" t="d">
        <x:v>2026-06-17T00:00:00.000Z</x:v>
      </x:c>
      <x:c r="N356" s="8" t="str">
        <x:v>https://www.smallcase.com/smallcase/finpire-nextgen-bluechip-FIINNM_0002</x:v>
      </x:c>
      <x:c r="O356" s="4" t="str">
        <x:v>FIINNM_0002</x:v>
      </x:c>
      <x:c r="P356" s="5" t="str">
        <x:v>Innovation / emerging business themes</x:v>
      </x:c>
    </x:row>
    <x:row r="357" ht="60" customHeight="1">
      <x:c r="A357" s="4" t="n">
        <x:v>358</x:v>
      </x:c>
      <x:c r="B357" s="5" t="str">
        <x:v>Sun Top 100 Fundamental</x:v>
      </x:c>
      <x:c r="C357" s="5" t="str">
        <x:v>LaMoksh</x:v>
      </x:c>
      <x:c r="D357" s="5" t="str">
        <x:v>Diversified / strategy</x:v>
      </x:c>
      <x:c r="E357" s="5" t="str">
        <x:v>No specific industry mandate identified</x:v>
      </x:c>
      <x:c r="F357" s="5" t="str">
        <x:v>Fundamental / growth / quality</x:v>
      </x:c>
      <x:c r="G357" s="6" t="n">
        <x:v>58094</x:v>
      </x:c>
      <x:c r="H357" s="4" t="str">
        <x:v>Medium</x:v>
      </x:c>
      <x:c r="I357" s="4" t="str">
        <x:v>Fee based</x:v>
      </x:c>
      <x:c r="J357" s="6" t="n">
        <x:v>570</x:v>
      </x:c>
      <x:c r="K357" s="5" t="str">
        <x:v>Core portfolio comprising of high quality, very large cap, large cap &amp; emerging large cap companies.</x:v>
      </x:c>
      <x:c r="L357" s="5" t="str">
        <x:v>No sector tags assigned; see description</x:v>
      </x:c>
      <x:c r="M357" s="7" t="d">
        <x:v>2026-09-17T00:00:00.000Z</x:v>
      </x:c>
      <x:c r="N357" s="8" t="str">
        <x:v>https://www.smallcase.com/smallcase/sun-LAMMO_0001</x:v>
      </x:c>
      <x:c r="O357" s="4" t="str">
        <x:v>LAMMO_0001</x:v>
      </x:c>
      <x:c r="P357" s="5" t="str">
        <x:v>Diversified; sector mandate not specified</x:v>
      </x:c>
    </x:row>
    <x:row r="358" ht="60" customHeight="1">
      <x:c r="A358" s="4" t="n">
        <x:v>359</x:v>
      </x:c>
      <x:c r="B358" s="5" t="str">
        <x:v>Earth Flexi Cap Fundamental</x:v>
      </x:c>
      <x:c r="C358" s="5" t="str">
        <x:v>LaMoksh</x:v>
      </x:c>
      <x:c r="D358" s="5" t="str">
        <x:v>Diversified / strategy</x:v>
      </x:c>
      <x:c r="E358" s="5" t="str">
        <x:v>No specific industry mandate identified</x:v>
      </x:c>
      <x:c r="F358" s="5" t="str">
        <x:v>Fundamental / growth / quality</x:v>
      </x:c>
      <x:c r="G358" s="6" t="n">
        <x:v>107636</x:v>
      </x:c>
      <x:c r="H358" s="4" t="str">
        <x:v>High</x:v>
      </x:c>
      <x:c r="I358" s="4" t="str">
        <x:v>Fee based</x:v>
      </x:c>
      <x:c r="J358" s="6" t="n">
        <x:v>570</x:v>
      </x:c>
      <x:c r="K358" s="5" t="str">
        <x:v>Portfolio of stocks with great potential for returns over a long period of time. Flexi cap strategy.</x:v>
      </x:c>
      <x:c r="L358" s="5" t="str">
        <x:v>No sector tags assigned; see description</x:v>
      </x:c>
      <x:c r="M358" s="7" t="d">
        <x:v>2026-09-17T00:00:00.000Z</x:v>
      </x:c>
      <x:c r="N358" s="8" t="str">
        <x:v>https://www.smallcase.com/smallcase/earth-LAMMO_0002</x:v>
      </x:c>
      <x:c r="O358" s="4" t="str">
        <x:v>LAMMO_0002</x:v>
      </x:c>
      <x:c r="P358" s="5" t="str">
        <x:v>Diversified; sector mandate not specified</x:v>
      </x:c>
    </x:row>
    <x:row r="359" ht="60" customHeight="1">
      <x:c r="A359" s="4" t="n">
        <x:v>360</x:v>
      </x:c>
      <x:c r="B359" s="5" t="str">
        <x:v>SR TECNOLOGY Tracker</x:v>
      </x:c>
      <x:c r="C359" s="5" t="str">
        <x:v>SR WEALTH ELITE</x:v>
      </x:c>
      <x:c r="D359" s="5" t="str">
        <x:v>Sector / industry theme</x:v>
      </x:c>
      <x:c r="E359" s="5" t="str">
        <x:v>IT, software &amp; digital platforms</x:v>
      </x:c>
      <x:c r="F359" s="5" t="str">
        <x:v>Other / not specified</x:v>
      </x:c>
      <x:c r="G359" s="6" t="n">
        <x:v>23100</x:v>
      </x:c>
      <x:c r="H359" s="4" t="str">
        <x:v>High</x:v>
      </x:c>
      <x:c r="I359" s="4" t="str">
        <x:v>Fee based</x:v>
      </x:c>
      <x:c r="J359" s="6" t="n">
        <x:v>983</x:v>
      </x:c>
      <x:c r="K359" s="5" t="str">
        <x:v>This IT &amp; ITeS and online services companies to allow investors to efficiently track and invest.</x:v>
      </x:c>
      <x:c r="L359" s="5" t="str">
        <x:v>Title and listing description</x:v>
      </x:c>
      <x:c r="M359" s="7" t="d">
        <x:v>2026-10-27T00:00:00.000Z</x:v>
      </x:c>
      <x:c r="N359" s="8" t="str">
        <x:v>https://www.smallcase.com/smallcase/sr-tecnology-LOSETR_0001</x:v>
      </x:c>
      <x:c r="O359" s="4" t="str">
        <x:v>LOSETR_0001</x:v>
      </x:c>
      <x:c r="P359" s="5" t="str"/>
    </x:row>
    <x:row r="360" ht="60" customHeight="1">
      <x:c r="A360" s="4" t="n">
        <x:v>361</x:v>
      </x:c>
      <x:c r="B360" s="5" t="str">
        <x:v>MAHURAT STAYVAN Model</x:v>
      </x:c>
      <x:c r="C360" s="5" t="str">
        <x:v>Stayvan</x:v>
      </x:c>
      <x:c r="D360" s="5" t="str">
        <x:v>Diversified / strategy</x:v>
      </x:c>
      <x:c r="E360" s="5" t="str">
        <x:v>No specific industry mandate identified</x:v>
      </x:c>
      <x:c r="F360" s="5" t="str">
        <x:v>Fundamental / growth / quality</x:v>
      </x:c>
      <x:c r="G360" s="6" t="n">
        <x:v>7587</x:v>
      </x:c>
      <x:c r="H360" s="4" t="str">
        <x:v>Medium</x:v>
      </x:c>
      <x:c r="I360" s="4" t="str">
        <x:v>Fee based</x:v>
      </x:c>
      <x:c r="J360" s="6" t="n">
        <x:v>499</x:v>
      </x:c>
      <x:c r="K360" s="5" t="str">
        <x:v>Recently listed IPO businesses selected for emerging growth and long-term portfolio compounding.</x:v>
      </x:c>
      <x:c r="L360" s="5" t="str">
        <x:v>No sector tags assigned; see description</x:v>
      </x:c>
      <x:c r="M360" s="7" t="d">
        <x:v>2026-07-06T00:00:00.000Z</x:v>
      </x:c>
      <x:c r="N360" s="8" t="str">
        <x:v>https://www.smallcase.com/smallcase/mahurat-2023-stayvan-4-in-1-(of-our-primary-scs)-SYVMO_0008</x:v>
      </x:c>
      <x:c r="O360" s="4" t="str">
        <x:v>SYVMO_0008</x:v>
      </x:c>
      <x:c r="P360" s="5" t="str">
        <x:v>Diversified; sector mandate not specified</x:v>
      </x:c>
    </x:row>
    <x:row r="361" ht="60" customHeight="1">
      <x:c r="A361" s="4" t="n">
        <x:v>362</x:v>
      </x:c>
      <x:c r="B361" s="5" t="str">
        <x:v>Moon Mid Small Multi Strategy Fundamental</x:v>
      </x:c>
      <x:c r="C361" s="5" t="str">
        <x:v>LaMoksh</x:v>
      </x:c>
      <x:c r="D361" s="5" t="str">
        <x:v>Diversified / strategy</x:v>
      </x:c>
      <x:c r="E361" s="5" t="str">
        <x:v>No specific industry mandate identified</x:v>
      </x:c>
      <x:c r="F361" s="5" t="str">
        <x:v>Fundamental / growth / quality</x:v>
      </x:c>
      <x:c r="G361" s="6" t="n">
        <x:v>99626</x:v>
      </x:c>
      <x:c r="H361" s="4" t="str">
        <x:v>High</x:v>
      </x:c>
      <x:c r="I361" s="4" t="str">
        <x:v>Fee based</x:v>
      </x:c>
      <x:c r="J361" s="6" t="n">
        <x:v>570</x:v>
      </x:c>
      <x:c r="K361" s="5" t="str">
        <x:v>Portfolio of around 25 stocks drawn from largely from mid and small cap universe.</x:v>
      </x:c>
      <x:c r="L361" s="5" t="str">
        <x:v>No sector tags assigned; see description</x:v>
      </x:c>
      <x:c r="M361" s="7" t="d">
        <x:v>2026-09-17T00:00:00.000Z</x:v>
      </x:c>
      <x:c r="N361" s="8" t="str">
        <x:v>https://www.smallcase.com/smallcase/moon-LAMMO_0003</x:v>
      </x:c>
      <x:c r="O361" s="4" t="str">
        <x:v>LAMMO_0003</x:v>
      </x:c>
      <x:c r="P361" s="5" t="str">
        <x:v>Diversified; sector mandate not specified</x:v>
      </x:c>
    </x:row>
    <x:row r="362" ht="60" customHeight="1">
      <x:c r="A362" s="4" t="n">
        <x:v>363</x:v>
      </x:c>
      <x:c r="B362" s="5" t="str">
        <x:v>Value Multicap Equities Fundamental</x:v>
      </x:c>
      <x:c r="C362" s="5" t="str">
        <x:v>WealthTrust Capital Services</x:v>
      </x:c>
      <x:c r="D362" s="5" t="str">
        <x:v>Diversified / strategy</x:v>
      </x:c>
      <x:c r="E362" s="5" t="str">
        <x:v>No specific industry mandate identified</x:v>
      </x:c>
      <x:c r="F362" s="5" t="str">
        <x:v>Value / contrarian</x:v>
      </x:c>
      <x:c r="G362" s="6" t="n">
        <x:v>68344</x:v>
      </x:c>
      <x:c r="H362" s="4" t="str">
        <x:v>High</x:v>
      </x:c>
      <x:c r="I362" s="4" t="str">
        <x:v>Fee based</x:v>
      </x:c>
      <x:c r="J362" s="6" t="n">
        <x:v>688</x:v>
      </x:c>
      <x:c r="K362" s="5" t="str">
        <x:v>Stable portfolio along with positive growth stocks.</x:v>
      </x:c>
      <x:c r="L362" s="5" t="str">
        <x:v>No sector tags assigned; see description</x:v>
      </x:c>
      <x:c r="M362" s="7" t="d">
        <x:v>2026-08-10T00:00:00.000Z</x:v>
      </x:c>
      <x:c r="N362" s="8" t="str">
        <x:v>https://www.smallcase.com/smallcase/value-multicap-equities-WETRMO_0002</x:v>
      </x:c>
      <x:c r="O362" s="4" t="str">
        <x:v>WETRMO_0002</x:v>
      </x:c>
      <x:c r="P362" s="5" t="str">
        <x:v>Diversified; sector mandate not specified</x:v>
      </x:c>
    </x:row>
    <x:row r="363" ht="60" customHeight="1">
      <x:c r="A363" s="4" t="n">
        <x:v>364</x:v>
      </x:c>
      <x:c r="B363" s="5" t="str">
        <x:v>Happy Hours - Cheers to Good Times Theme</x:v>
      </x:c>
      <x:c r="C363" s="5" t="str">
        <x:v>Ethical Advisers</x:v>
      </x:c>
      <x:c r="D363" s="5" t="str">
        <x:v>Sector / industry theme</x:v>
      </x:c>
      <x:c r="E363" s="5" t="str">
        <x:v>Travel, leisure &amp; entertainment</x:v>
      </x:c>
      <x:c r="F363" s="5" t="str">
        <x:v>Other / not specified</x:v>
      </x:c>
      <x:c r="G363" s="6" t="n">
        <x:v>86004</x:v>
      </x:c>
      <x:c r="H363" s="4" t="str">
        <x:v>High</x:v>
      </x:c>
      <x:c r="I363" s="4" t="str">
        <x:v>Fee based</x:v>
      </x:c>
      <x:c r="J363" s="6" t="n">
        <x:v>708</x:v>
      </x:c>
      <x:c r="K363" s="5" t="str">
        <x:v>An intelligent selection of potential beneficiaries of a rebound in leisure, travel &amp; entertainment</x:v>
      </x:c>
      <x:c r="L363" s="5" t="str">
        <x:v>Title and listing description</x:v>
      </x:c>
      <x:c r="M363" s="7" t="d">
        <x:v>2026-08-24T00:00:00.000Z</x:v>
      </x:c>
      <x:c r="N363" s="8" t="str">
        <x:v>https://www.smallcase.com/smallcase/happy-hours:-cheers-to-good-times-EHANM_0011</x:v>
      </x:c>
      <x:c r="O363" s="4" t="str">
        <x:v>EHANM_0011</x:v>
      </x:c>
      <x:c r="P363" s="5" t="str"/>
    </x:row>
    <x:row r="364" ht="60" customHeight="1">
      <x:c r="A364" s="4" t="n">
        <x:v>365</x:v>
      </x:c>
      <x:c r="B364" s="5" t="str">
        <x:v>Keystone Asset Allocation</x:v>
      </x:c>
      <x:c r="C364" s="5" t="str">
        <x:v>WealthTrust Capital Services</x:v>
      </x:c>
      <x:c r="D364" s="5" t="str">
        <x:v>Asset allocation / target date</x:v>
      </x:c>
      <x:c r="E364" s="5" t="str">
        <x:v>No specific industry mandate identified</x:v>
      </x:c>
      <x:c r="F364" s="5" t="str">
        <x:v>Asset allocation</x:v>
      </x:c>
      <x:c r="G364" s="6" t="n">
        <x:v>561</x:v>
      </x:c>
      <x:c r="H364" s="4" t="str">
        <x:v>Medium</x:v>
      </x:c>
      <x:c r="I364" s="4" t="str">
        <x:v>Fee based</x:v>
      </x:c>
      <x:c r="J364" s="6" t="n">
        <x:v>590</x:v>
      </x:c>
      <x:c r="K364" s="5" t="str">
        <x:v>Portfolio primarily built on risk parity to maximize return per unit of risk taken.</x:v>
      </x:c>
      <x:c r="L364" s="5" t="str">
        <x:v>No sector tags assigned; see description</x:v>
      </x:c>
      <x:c r="M364" s="7" t="d">
        <x:v>2026-09-17T00:00:00.000Z</x:v>
      </x:c>
      <x:c r="N364" s="8" t="str">
        <x:v>https://www.smallcase.com/smallcase/inflation-resistant-WETRMO_0003</x:v>
      </x:c>
      <x:c r="O364" s="4" t="str">
        <x:v>WETRMO_0003</x:v>
      </x:c>
      <x:c r="P364" s="5" t="str">
        <x:v>Asset allocation / target date</x:v>
      </x:c>
    </x:row>
    <x:row r="365" ht="60" customHeight="1">
      <x:c r="A365" s="4" t="n">
        <x:v>366</x:v>
      </x:c>
      <x:c r="B365" s="5" t="str">
        <x:v>Omni Banking on Growth Theme</x:v>
      </x:c>
      <x:c r="C365" s="5" t="str">
        <x:v>Omniscience Capital</x:v>
      </x:c>
      <x:c r="D365" s="5" t="str">
        <x:v>Sector / industry theme</x:v>
      </x:c>
      <x:c r="E365" s="5" t="str">
        <x:v>Banks &amp; NBFCs</x:v>
      </x:c>
      <x:c r="F365" s="5" t="str">
        <x:v>Fundamental / growth / quality</x:v>
      </x:c>
      <x:c r="G365" s="6" t="n">
        <x:v>28296</x:v>
      </x:c>
      <x:c r="H365" s="4" t="str">
        <x:v>High</x:v>
      </x:c>
      <x:c r="I365" s="4" t="str">
        <x:v>Fee based</x:v>
      </x:c>
      <x:c r="J365" s="6" t="n">
        <x:v>1075</x:v>
      </x:c>
      <x:c r="K365" s="5" t="str">
        <x:v>A portfolio of Indian Banking stocks capitalizing growth in the Amrit Kaal.</x:v>
      </x:c>
      <x:c r="L365" s="5" t="str">
        <x:v>Title and listing description</x:v>
      </x:c>
      <x:c r="M365" s="7" t="d">
        <x:v>2026-09-17T00:00:00.000Z</x:v>
      </x:c>
      <x:c r="N365" s="8" t="str">
        <x:v>https://www.smallcase.com/smallcase/banking-on-growth-OMNNM_0022</x:v>
      </x:c>
      <x:c r="O365" s="4" t="str">
        <x:v>OMNNM_0022</x:v>
      </x:c>
      <x:c r="P365" s="5" t="str"/>
    </x:row>
    <x:row r="366" ht="60" customHeight="1">
      <x:c r="A366" s="4" t="n">
        <x:v>367</x:v>
      </x:c>
      <x:c r="B366" s="5" t="str">
        <x:v>Balance 25 Fundamental</x:v>
      </x:c>
      <x:c r="C366" s="5" t="str">
        <x:v>WealthTrust Capital Services</x:v>
      </x:c>
      <x:c r="D366" s="5" t="str">
        <x:v>Diversified / strategy</x:v>
      </x:c>
      <x:c r="E366" s="5" t="str">
        <x:v>No specific industry mandate identified</x:v>
      </x:c>
      <x:c r="F366" s="5" t="str">
        <x:v>Value / contrarian</x:v>
      </x:c>
      <x:c r="G366" s="6" t="n">
        <x:v>234817</x:v>
      </x:c>
      <x:c r="H366" s="4" t="str">
        <x:v>Medium</x:v>
      </x:c>
      <x:c r="I366" s="4" t="str">
        <x:v>Fee based</x:v>
      </x:c>
      <x:c r="J366" s="6" t="n">
        <x:v>688</x:v>
      </x:c>
      <x:c r="K366" s="5" t="str">
        <x:v>To identify undervalued stocks by determining fair value range from detailed financial analysis.</x:v>
      </x:c>
      <x:c r="L366" s="5" t="str">
        <x:v>No sector tags assigned; see description</x:v>
      </x:c>
      <x:c r="M366" s="7" t="d">
        <x:v>2026-05-12T00:00:00.000Z</x:v>
      </x:c>
      <x:c r="N366" s="8" t="str">
        <x:v>https://www.smallcase.com/smallcase/balance-25-WETRMO_0004</x:v>
      </x:c>
      <x:c r="O366" s="4" t="str">
        <x:v>WETRMO_0004</x:v>
      </x:c>
      <x:c r="P366" s="5" t="str">
        <x:v>Diversified; sector mandate not specified</x:v>
      </x:c>
    </x:row>
    <x:row r="367" ht="60" customHeight="1">
      <x:c r="A367" s="4" t="n">
        <x:v>368</x:v>
      </x:c>
      <x:c r="B367" s="5" t="str">
        <x:v>Auto Ancillaries Theme</x:v>
      </x:c>
      <x:c r="C367" s="5" t="str">
        <x:v>Agility Advisors</x:v>
      </x:c>
      <x:c r="D367" s="5" t="str">
        <x:v>Sector / industry theme</x:v>
      </x:c>
      <x:c r="E367" s="5" t="str">
        <x:v>Automobiles, EVs &amp; components</x:v>
      </x:c>
      <x:c r="F367" s="5" t="str">
        <x:v>Other / not specified</x:v>
      </x:c>
      <x:c r="G367" s="6" t="n">
        <x:v>207499</x:v>
      </x:c>
      <x:c r="H367" s="4" t="str">
        <x:v>High</x:v>
      </x:c>
      <x:c r="I367" s="4" t="str">
        <x:v>Fee based</x:v>
      </x:c>
      <x:c r="J367" s="6" t="n">
        <x:v>1770</x:v>
      </x:c>
      <x:c r="K367" s="5" t="str">
        <x:v>Long Term Portfolio investing predominately in Auto Ancillary Companies</x:v>
      </x:c>
      <x:c r="L367" s="5" t="str">
        <x:v>Title and listing description</x:v>
      </x:c>
      <x:c r="M367" s="7" t="d">
        <x:v>2026-10-09T00:00:00.000Z</x:v>
      </x:c>
      <x:c r="N367" s="8" t="str">
        <x:v>https://www.smallcase.com/smallcase/yj-ancillary-YEJNM_0005</x:v>
      </x:c>
      <x:c r="O367" s="4" t="str">
        <x:v>YEJNM_0005</x:v>
      </x:c>
      <x:c r="P367" s="5" t="str"/>
    </x:row>
    <x:row r="368" ht="60" customHeight="1">
      <x:c r="A368" s="4" t="n">
        <x:v>369</x:v>
      </x:c>
      <x:c r="B368" s="5" t="str">
        <x:v>House of Murugappa Tracker</x:v>
      </x:c>
      <x:c r="C368" s="5" t="str">
        <x:v>Windmill Capital</x:v>
      </x:c>
      <x:c r="D368" s="5" t="str">
        <x:v>Business group / PSU ownership</x:v>
      </x:c>
      <x:c r="E368" s="5" t="str">
        <x:v>No specific industry mandate identified</x:v>
      </x:c>
      <x:c r="F368" s="5" t="str">
        <x:v>Other / not specified</x:v>
      </x:c>
      <x:c r="G368" s="6" t="n">
        <x:v>12661</x:v>
      </x:c>
      <x:c r="H368" s="4" t="str">
        <x:v>High</x:v>
      </x:c>
      <x:c r="I368" s="4" t="str">
        <x:v>Fee based</x:v>
      </x:c>
      <x:c r="J368" s="6" t="n">
        <x:v>120</x:v>
      </x:c>
      <x:c r="K368" s="5" t="str">
        <x:v>Companies part of Murugappa group, a conglomerate with a legacy of over 120+ years</x:v>
      </x:c>
      <x:c r="L368" s="5" t="str">
        <x:v>No sector tags assigned; see description</x:v>
      </x:c>
      <x:c r="M368" s="7" t="d">
        <x:v>2026-09-17T00:00:00.000Z</x:v>
      </x:c>
      <x:c r="N368" s="8" t="str">
        <x:v>https://www.smallcase.com/smallcase/house-of-murugappa-SCTR_0017</x:v>
      </x:c>
      <x:c r="O368" s="4" t="str">
        <x:v>SCTR_0017</x:v>
      </x:c>
      <x:c r="P368" s="5" t="str">
        <x:v>Business group / PSU ownership</x:v>
      </x:c>
    </x:row>
    <x:row r="369" ht="60" customHeight="1">
      <x:c r="A369" s="4" t="n">
        <x:v>370</x:v>
      </x:c>
      <x:c r="B369" s="5" t="str">
        <x:v>SR MIDCAP250 FUND Momentum Model</x:v>
      </x:c>
      <x:c r="C369" s="5" t="str">
        <x:v>Lokesh Sethia</x:v>
      </x:c>
      <x:c r="D369" s="5" t="str">
        <x:v>Diversified / strategy</x:v>
      </x:c>
      <x:c r="E369" s="5" t="str">
        <x:v>No specific industry mandate identified</x:v>
      </x:c>
      <x:c r="F369" s="5" t="str">
        <x:v>Momentum / trend</x:v>
      </x:c>
      <x:c r="G369" s="6" t="n">
        <x:v>167349</x:v>
      </x:c>
      <x:c r="H369" s="4" t="str">
        <x:v>High</x:v>
      </x:c>
      <x:c r="I369" s="4" t="str">
        <x:v>Fee based</x:v>
      </x:c>
      <x:c r="J369" s="6" t="n">
        <x:v>1180</x:v>
      </x:c>
      <x:c r="K369" s="5" t="str">
        <x:v>SR MIDCAP 250 FUND IS INVESTED IN MIDCAP 250 STOCKS</x:v>
      </x:c>
      <x:c r="L369" s="5" t="str">
        <x:v>No sector tags assigned; see description</x:v>
      </x:c>
      <x:c r="M369" s="7" t="d">
        <x:v>2026-10-27T00:00:00.000Z</x:v>
      </x:c>
      <x:c r="N369" s="8" t="str">
        <x:v>https://www.smallcase.com/smallcase/ls-500-LOSEMO_0002</x:v>
      </x:c>
      <x:c r="O369" s="4" t="str">
        <x:v>LOSEMO_0002</x:v>
      </x:c>
      <x:c r="P369" s="5" t="str">
        <x:v>Diversified; sector mandate not specified</x:v>
      </x:c>
    </x:row>
    <x:row r="370" ht="60" customHeight="1">
      <x:c r="A370" s="4" t="n">
        <x:v>371</x:v>
      </x:c>
      <x:c r="B370" s="5" t="str">
        <x:v>PVR WEALTH GROWERS 1 Fundamental</x:v>
      </x:c>
      <x:c r="C370" s="5" t="str">
        <x:v>PVR Advisory</x:v>
      </x:c>
      <x:c r="D370" s="5" t="str">
        <x:v>Diversified / strategy</x:v>
      </x:c>
      <x:c r="E370" s="5" t="str">
        <x:v>No specific industry mandate identified</x:v>
      </x:c>
      <x:c r="F370" s="5" t="str">
        <x:v>Fundamental / growth / quality</x:v>
      </x:c>
      <x:c r="G370" s="6" t="n">
        <x:v>63045</x:v>
      </x:c>
      <x:c r="H370" s="4" t="str">
        <x:v>High</x:v>
      </x:c>
      <x:c r="I370" s="4" t="str">
        <x:v>Fee based</x:v>
      </x:c>
      <x:c r="J370" s="6" t="n">
        <x:v>666</x:v>
      </x:c>
      <x:c r="K370" s="5" t="str">
        <x:v>A Collection of Businesses possessing deep competitive moats.</x:v>
      </x:c>
      <x:c r="L370" s="5" t="str">
        <x:v>No sector tags assigned; see description</x:v>
      </x:c>
      <x:c r="M370" s="7" t="d">
        <x:v>2024-12-31T00:00:00.000Z</x:v>
      </x:c>
      <x:c r="N370" s="8" t="str">
        <x:v>https://www.smallcase.com/smallcase/pvr-wealth-growers-1-PVRAMO_0004</x:v>
      </x:c>
      <x:c r="O370" s="4" t="str">
        <x:v>PVRAMO_0004</x:v>
      </x:c>
      <x:c r="P370" s="5" t="str">
        <x:v>Diversified; sector mandate not specified</x:v>
      </x:c>
    </x:row>
    <x:row r="371" ht="60" customHeight="1">
      <x:c r="A371" s="4" t="n">
        <x:v>372</x:v>
      </x:c>
      <x:c r="B371" s="5" t="str">
        <x:v>Venture Capital Investors Portfolio Theme</x:v>
      </x:c>
      <x:c r="C371" s="5" t="str">
        <x:v>Wealth Culture</x:v>
      </x:c>
      <x:c r="D371" s="5" t="str">
        <x:v>Event / ownership / listing theme</x:v>
      </x:c>
      <x:c r="E371" s="5" t="str">
        <x:v>No specific industry mandate identified</x:v>
      </x:c>
      <x:c r="F371" s="5" t="str">
        <x:v>Other / not specified</x:v>
      </x:c>
      <x:c r="G371" s="6" t="n">
        <x:v>7500</x:v>
      </x:c>
      <x:c r="H371" s="4" t="str">
        <x:v>High</x:v>
      </x:c>
      <x:c r="I371" s="4" t="str">
        <x:v>Fee based</x:v>
      </x:c>
      <x:c r="J371" s="6" t="n">
        <x:v>833</x:v>
      </x:c>
      <x:c r="K371" s="5" t="str">
        <x:v>Invest in high-conviction micro, Small, and midcap stocks supported by multi-year themes.</x:v>
      </x:c>
      <x:c r="L371" s="5" t="str">
        <x:v>No sector tags assigned; see description</x:v>
      </x:c>
      <x:c r="M371" s="7" t="d">
        <x:v>2025-11-04T00:00:00.000Z</x:v>
      </x:c>
      <x:c r="N371" s="8" t="str">
        <x:v>https://www.smallcase.com/smallcase/venture-capital-investing-in-public-markets-WECEMO_0008</x:v>
      </x:c>
      <x:c r="O371" s="4" t="str">
        <x:v>WECEMO_0008</x:v>
      </x:c>
      <x:c r="P371" s="5" t="str">
        <x:v>Event / ownership / listing theme</x:v>
      </x:c>
    </x:row>
    <x:row r="372" ht="60" customHeight="1">
      <x:c r="A372" s="4" t="n">
        <x:v>373</x:v>
      </x:c>
      <x:c r="B372" s="5" t="str">
        <x:v>Gulaq Gear 4 Quant</x:v>
      </x:c>
      <x:c r="C372" s="5" t="str">
        <x:v>Estee</x:v>
      </x:c>
      <x:c r="D372" s="5" t="str">
        <x:v>Asset allocation / target date</x:v>
      </x:c>
      <x:c r="E372" s="5" t="str">
        <x:v>No specific industry mandate identified</x:v>
      </x:c>
      <x:c r="F372" s="5" t="str">
        <x:v>Asset allocation</x:v>
      </x:c>
      <x:c r="G372" s="6" t="n">
        <x:v>42000</x:v>
      </x:c>
      <x:c r="H372" s="4" t="str">
        <x:v>Medium</x:v>
      </x:c>
      <x:c r="I372" s="4" t="str">
        <x:v>Fee based</x:v>
      </x:c>
      <x:c r="J372" s="6" t="n">
        <x:v>491</x:v>
      </x:c>
      <x:c r="K372" s="5" t="str">
        <x:v>Growth oriented portfolio suited for a Conservative investor (Allocation: 60% Equity, 40% Debt ETF)</x:v>
      </x:c>
      <x:c r="L372" s="5" t="str">
        <x:v>No sector tags assigned; see description</x:v>
      </x:c>
      <x:c r="M372" s="7" t="d">
        <x:v>2026-09-29T00:00:00.000Z</x:v>
      </x:c>
      <x:c r="N372" s="8" t="str">
        <x:v>https://www.smallcase.com/smallcase/gulaq-gear-4-ESTMO_0007</x:v>
      </x:c>
      <x:c r="O372" s="4" t="str">
        <x:v>ESTMO_0007</x:v>
      </x:c>
      <x:c r="P372" s="5" t="str">
        <x:v>Asset allocation / target date</x:v>
      </x:c>
    </x:row>
    <x:row r="373" ht="60" customHeight="1">
      <x:c r="A373" s="4" t="n">
        <x:v>374</x:v>
      </x:c>
      <x:c r="B373" s="5" t="str">
        <x:v>SB Riveting IT Portfolio Tracker</x:v>
      </x:c>
      <x:c r="C373" s="5" t="str">
        <x:v>stockbox</x:v>
      </x:c>
      <x:c r="D373" s="5" t="str">
        <x:v>Sector / industry theme</x:v>
      </x:c>
      <x:c r="E373" s="5" t="str">
        <x:v>IT, software &amp; digital platforms</x:v>
      </x:c>
      <x:c r="F373" s="5" t="str">
        <x:v>Other / not specified</x:v>
      </x:c>
      <x:c r="G373" s="6" t="n">
        <x:v>54910</x:v>
      </x:c>
      <x:c r="H373" s="4" t="str">
        <x:v>High</x:v>
      </x:c>
      <x:c r="I373" s="4" t="str">
        <x:v>Fee based</x:v>
      </x:c>
      <x:c r="J373" s="6" t="n">
        <x:v>491</x:v>
      </x:c>
      <x:c r="K373" s="5" t="str">
        <x:v>This Smallcase comprises IT companies to allow investors to efficiently track and invest.</x:v>
      </x:c>
      <x:c r="L373" s="5" t="str">
        <x:v>Title and listing description</x:v>
      </x:c>
      <x:c r="M373" s="7" t="d">
        <x:v>2026-09-11T00:00:00.000Z</x:v>
      </x:c>
      <x:c r="N373" s="8" t="str">
        <x:v>https://www.smallcase.com/smallcase/sb-riveting-it-portfolio-STBXNM_0002</x:v>
      </x:c>
      <x:c r="O373" s="4" t="str">
        <x:v>STBXNM_0002</x:v>
      </x:c>
      <x:c r="P373" s="5" t="str"/>
    </x:row>
    <x:row r="374" ht="60" customHeight="1">
      <x:c r="A374" s="4" t="n">
        <x:v>375</x:v>
      </x:c>
      <x:c r="B374" s="5" t="str">
        <x:v>Monopolies Theme</x:v>
      </x:c>
      <x:c r="C374" s="5" t="str">
        <x:v>Paterson</x:v>
      </x:c>
      <x:c r="D374" s="5" t="str">
        <x:v>Diversified / strategy</x:v>
      </x:c>
      <x:c r="E374" s="5" t="str">
        <x:v>No specific industry mandate identified</x:v>
      </x:c>
      <x:c r="F374" s="5" t="str">
        <x:v>Other / not specified</x:v>
      </x:c>
      <x:c r="G374" s="6" t="n">
        <x:v>67056</x:v>
      </x:c>
      <x:c r="H374" s="4" t="str">
        <x:v>High</x:v>
      </x:c>
      <x:c r="I374" s="4" t="str">
        <x:v>Fee based</x:v>
      </x:c>
      <x:c r="J374" s="6" t="n">
        <x:v>625</x:v>
      </x:c>
      <x:c r="K374" s="5" t="str">
        <x:v>Companies that dominate their respective industries and sectors.</x:v>
      </x:c>
      <x:c r="L374" s="5" t="str">
        <x:v>No sector tags assigned; see description</x:v>
      </x:c>
      <x:c r="M374" s="7" t="d">
        <x:v>2026-07-09T00:00:00.000Z</x:v>
      </x:c>
      <x:c r="N374" s="8" t="str">
        <x:v>https://www.smallcase.com/smallcase/monopolies-RUPENM_0007</x:v>
      </x:c>
      <x:c r="O374" s="4" t="str">
        <x:v>RUPENM_0007</x:v>
      </x:c>
      <x:c r="P374" s="5" t="str">
        <x:v>Diversified; sector mandate not specified</x:v>
      </x:c>
    </x:row>
    <x:row r="375" ht="60" customHeight="1">
      <x:c r="A375" s="4" t="n">
        <x:v>376</x:v>
      </x:c>
      <x:c r="B375" s="5" t="str">
        <x:v>Mi ATH2 Momentum Model</x:v>
      </x:c>
      <x:c r="C375" s="5" t="str">
        <x:v>Weekend Investing</x:v>
      </x:c>
      <x:c r="D375" s="5" t="str">
        <x:v>Diversified / strategy</x:v>
      </x:c>
      <x:c r="E375" s="5" t="str">
        <x:v>No specific industry mandate identified</x:v>
      </x:c>
      <x:c r="F375" s="5" t="str">
        <x:v>Momentum / trend</x:v>
      </x:c>
      <x:c r="G375" s="6" t="n">
        <x:v>111905</x:v>
      </x:c>
      <x:c r="H375" s="4" t="str">
        <x:v>High</x:v>
      </x:c>
      <x:c r="I375" s="4" t="str">
        <x:v>Fee based</x:v>
      </x:c>
      <x:c r="J375" s="6" t="n">
        <x:v>833</x:v>
      </x:c>
      <x:c r="K375" s="5" t="str">
        <x:v>10 trending stocks hitting All Time Highs | Downside protection | Mktcap &gt; 500 cr| Weekly Rebalanced</x:v>
      </x:c>
      <x:c r="L375" s="5" t="str">
        <x:v>No sector tags assigned; see description</x:v>
      </x:c>
      <x:c r="M375" s="7" t="d">
        <x:v>2026-10-26T00:00:00.000Z</x:v>
      </x:c>
      <x:c r="N375" s="8" t="str">
        <x:v>https://www.smallcase.com/smallcase/mi-ath2-WKIMO_0018</x:v>
      </x:c>
      <x:c r="O375" s="4" t="str">
        <x:v>WKIMO_0018</x:v>
      </x:c>
      <x:c r="P375" s="5" t="str">
        <x:v>Diversified; sector mandate not specified</x:v>
      </x:c>
    </x:row>
    <x:row r="376" ht="60" customHeight="1">
      <x:c r="A376" s="4" t="n">
        <x:v>377</x:v>
      </x:c>
      <x:c r="B376" s="5" t="str">
        <x:v>Bluechip Quant</x:v>
      </x:c>
      <x:c r="C376" s="5" t="str">
        <x:v>Quantace Reseach</x:v>
      </x:c>
      <x:c r="D376" s="5" t="str">
        <x:v>Diversified / strategy</x:v>
      </x:c>
      <x:c r="E376" s="5" t="str">
        <x:v>No specific industry mandate identified</x:v>
      </x:c>
      <x:c r="F376" s="5" t="str">
        <x:v>Quant / factor</x:v>
      </x:c>
      <x:c r="G376" s="6" t="n">
        <x:v>16181</x:v>
      </x:c>
      <x:c r="H376" s="4" t="str">
        <x:v>Medium</x:v>
      </x:c>
      <x:c r="I376" s="4" t="str">
        <x:v>Fee based</x:v>
      </x:c>
      <x:c r="J376" s="6" t="n">
        <x:v>700</x:v>
      </x:c>
      <x:c r="K376" s="5" t="str">
        <x:v>Experience the power of Bluechips. Stocks in Top 50 sorted by Market cap. Rec. size : 5+ Lakhs</x:v>
      </x:c>
      <x:c r="L376" s="5" t="str">
        <x:v>No sector tags assigned; see description</x:v>
      </x:c>
      <x:c r="M376" s="7" t="d">
        <x:v>2026-10-26T00:00:00.000Z</x:v>
      </x:c>
      <x:c r="N376" s="8" t="str">
        <x:v>https://www.smallcase.com/smallcase/bluechip-citius-QUREMO_0003</x:v>
      </x:c>
      <x:c r="O376" s="4" t="str">
        <x:v>QUREMO_0003</x:v>
      </x:c>
      <x:c r="P376" s="5" t="str">
        <x:v>Diversified; sector mandate not specified</x:v>
      </x:c>
    </x:row>
    <x:row r="377" ht="60" customHeight="1">
      <x:c r="A377" s="4" t="n">
        <x:v>378</x:v>
      </x:c>
      <x:c r="B377" s="5" t="str">
        <x:v>Wright Innovation Theme</x:v>
      </x:c>
      <x:c r="C377" s="5" t="str">
        <x:v>Wright Research</x:v>
      </x:c>
      <x:c r="D377" s="5" t="str">
        <x:v>Sector / industry theme</x:v>
      </x:c>
      <x:c r="E377" s="5" t="str">
        <x:v>Automobiles, EVs &amp; components; Pharma &amp; healthcare; IT, software &amp; digital platforms; Financial services &amp; fintech</x:v>
      </x:c>
      <x:c r="F377" s="5" t="str">
        <x:v>Fundamental / growth / quality</x:v>
      </x:c>
      <x:c r="G377" s="6" t="n">
        <x:v>49103</x:v>
      </x:c>
      <x:c r="H377" s="4" t="str">
        <x:v>High</x:v>
      </x:c>
      <x:c r="I377" s="4" t="str">
        <x:v>Fee based</x:v>
      </x:c>
      <x:c r="J377" s="6" t="n">
        <x:v>600</x:v>
      </x:c>
      <x:c r="K377" s="5" t="str">
        <x:v>Wright Innovation: Where Disruption Meets Growth.</x:v>
      </x:c>
      <x:c r="L377" s="5" t="str">
        <x:v>Public detail-page investment rationale</x:v>
      </x:c>
      <x:c r="M377" s="7" t="d">
        <x:v>2026-10-26T00:00:00.000Z</x:v>
      </x:c>
      <x:c r="N377" s="8" t="str">
        <x:v>https://www.smallcase.com/smallcase/wright-innovation-WRTNM_0004</x:v>
      </x:c>
      <x:c r="O377" s="4" t="str">
        <x:v>WRTNM_0004</x:v>
      </x:c>
      <x:c r="P377" s="5" t="str"/>
    </x:row>
    <x:row r="378" ht="60" customHeight="1">
      <x:c r="A378" s="4" t="n">
        <x:v>379</x:v>
      </x:c>
      <x:c r="B378" s="5" t="str">
        <x:v>UnderDogs Too Will Shine Fundamental</x:v>
      </x:c>
      <x:c r="C378" s="5" t="str">
        <x:v>Ambareesh Baliga</x:v>
      </x:c>
      <x:c r="D378" s="5" t="str">
        <x:v>Diversified / strategy</x:v>
      </x:c>
      <x:c r="E378" s="5" t="str">
        <x:v>No specific industry mandate identified</x:v>
      </x:c>
      <x:c r="F378" s="5" t="str">
        <x:v>Fundamental / growth / quality</x:v>
      </x:c>
      <x:c r="G378" s="6" t="n">
        <x:v>33955</x:v>
      </x:c>
      <x:c r="H378" s="4" t="str">
        <x:v>High</x:v>
      </x:c>
      <x:c r="I378" s="4" t="str">
        <x:v>Fee based</x:v>
      </x:c>
      <x:c r="J378" s="6" t="n">
        <x:v>786</x:v>
      </x:c>
      <x:c r="K378" s="5" t="str">
        <x:v>The UnderDogs-Stocks or Sectors which have underperformed but their time of reckoning with come soon</x:v>
      </x:c>
      <x:c r="L378" s="5" t="str">
        <x:v>No sector tags assigned; see description</x:v>
      </x:c>
      <x:c r="M378" s="7" t="d">
        <x:v>2026-01-13T00:00:00.000Z</x:v>
      </x:c>
      <x:c r="N378" s="8" t="str">
        <x:v>https://www.smallcase.com/smallcase/underdogs-too-will-shine-series-2-AMBANM_0002</x:v>
      </x:c>
      <x:c r="O378" s="4" t="str">
        <x:v>AMBANM_0002</x:v>
      </x:c>
      <x:c r="P378" s="5" t="str">
        <x:v>Diversified; sector mandate not specified</x:v>
      </x:c>
    </x:row>
    <x:row r="379" ht="60" customHeight="1">
      <x:c r="A379" s="4" t="n">
        <x:v>380</x:v>
      </x:c>
      <x:c r="B379" s="5" t="str">
        <x:v>Top 10 Techno Funda Model</x:v>
      </x:c>
      <x:c r="C379" s="5" t="str">
        <x:v>Nooresh Merani</x:v>
      </x:c>
      <x:c r="D379" s="5" t="str">
        <x:v>Diversified / strategy</x:v>
      </x:c>
      <x:c r="E379" s="5" t="str">
        <x:v>No specific industry mandate identified</x:v>
      </x:c>
      <x:c r="F379" s="5" t="str">
        <x:v>Fundamental / growth / quality</x:v>
      </x:c>
      <x:c r="G379" s="6" t="n">
        <x:v>10361</x:v>
      </x:c>
      <x:c r="H379" s="4" t="str">
        <x:v>High</x:v>
      </x:c>
      <x:c r="I379" s="4" t="str">
        <x:v>Fee based</x:v>
      </x:c>
      <x:c r="J379" s="6" t="n">
        <x:v>1376</x:v>
      </x:c>
      <x:c r="K379" s="5" t="str">
        <x:v>Top 10 Stocks based on a Mix of Technical Analysis and Fundamental Analysis.</x:v>
      </x:c>
      <x:c r="L379" s="5" t="str">
        <x:v>No sector tags assigned; see description</x:v>
      </x:c>
      <x:c r="M379" s="7" t="d">
        <x:v>2026-08-11T00:00:00.000Z</x:v>
      </x:c>
      <x:c r="N379" s="8" t="str">
        <x:v>https://www.smallcase.com/smallcase/top-10-techno-funda-NOMMO_0001</x:v>
      </x:c>
      <x:c r="O379" s="4" t="str">
        <x:v>NOMMO_0001</x:v>
      </x:c>
      <x:c r="P379" s="5" t="str">
        <x:v>Diversified; sector mandate not specified</x:v>
      </x:c>
    </x:row>
    <x:row r="380" ht="60" customHeight="1">
      <x:c r="A380" s="4" t="n">
        <x:v>381</x:v>
      </x:c>
      <x:c r="B380" s="5" t="str">
        <x:v>GVSR-NBFC Segment-Value - V Buys Theme</x:v>
      </x:c>
      <x:c r="C380" s="5" t="str">
        <x:v>GVSRwealth</x:v>
      </x:c>
      <x:c r="D380" s="5" t="str">
        <x:v>Sector / industry theme</x:v>
      </x:c>
      <x:c r="E380" s="5" t="str">
        <x:v>Banks &amp; NBFCs</x:v>
      </x:c>
      <x:c r="F380" s="5" t="str">
        <x:v>Value / contrarian</x:v>
      </x:c>
      <x:c r="G380" s="6" t="n">
        <x:v>29018</x:v>
      </x:c>
      <x:c r="H380" s="4" t="str">
        <x:v>High</x:v>
      </x:c>
      <x:c r="I380" s="4" t="str">
        <x:v>Fee based</x:v>
      </x:c>
      <x:c r="J380" s="6" t="n">
        <x:v>1233</x:v>
      </x:c>
      <x:c r="K380" s="5" t="str">
        <x:v>Select NBFCs that offer 'Value (V) Buying' opportunities.</x:v>
      </x:c>
      <x:c r="L380" s="5" t="str">
        <x:v>Title and listing description</x:v>
      </x:c>
      <x:c r="M380" s="7" t="d">
        <x:v>2026-10-12T00:00:00.000Z</x:v>
      </x:c>
      <x:c r="N380" s="8" t="str">
        <x:v>https://www.smallcase.com/smallcase/nbfc-segment-value-buys-GVSRTR_0003</x:v>
      </x:c>
      <x:c r="O380" s="4" t="str">
        <x:v>GVSRTR_0003</x:v>
      </x:c>
      <x:c r="P380" s="5" t="str"/>
    </x:row>
    <x:row r="381" ht="60" customHeight="1">
      <x:c r="A381" s="4" t="n">
        <x:v>382</x:v>
      </x:c>
      <x:c r="B381" s="5" t="str">
        <x:v>Top 10 Promoter Buying Theme</x:v>
      </x:c>
      <x:c r="C381" s="5" t="str">
        <x:v>Nooresh Merani</x:v>
      </x:c>
      <x:c r="D381" s="5" t="str">
        <x:v>Event / ownership / listing theme</x:v>
      </x:c>
      <x:c r="E381" s="5" t="str">
        <x:v>No specific industry mandate identified</x:v>
      </x:c>
      <x:c r="F381" s="5" t="str">
        <x:v>Other / not specified</x:v>
      </x:c>
      <x:c r="G381" s="6" t="n">
        <x:v>5502</x:v>
      </x:c>
      <x:c r="H381" s="4" t="str">
        <x:v>High</x:v>
      </x:c>
      <x:c r="I381" s="4" t="str">
        <x:v>Fee based</x:v>
      </x:c>
      <x:c r="J381" s="6" t="n">
        <x:v>1376</x:v>
      </x:c>
      <x:c r="K381" s="5" t="str">
        <x:v>Top 10 Insider Trading actively tracks Open Market Buying and Selling by Promoters.</x:v>
      </x:c>
      <x:c r="L381" s="5" t="str">
        <x:v>No sector tags assigned; see description</x:v>
      </x:c>
      <x:c r="M381" s="7" t="d">
        <x:v>2026-09-28T00:00:00.000Z</x:v>
      </x:c>
      <x:c r="N381" s="8" t="str">
        <x:v>https://www.smallcase.com/smallcase/top-10-insider-trading-NOMNM_0003</x:v>
      </x:c>
      <x:c r="O381" s="4" t="str">
        <x:v>NOMNM_0003</x:v>
      </x:c>
      <x:c r="P381" s="5" t="str">
        <x:v>Event / ownership / listing theme</x:v>
      </x:c>
    </x:row>
    <x:row r="382" ht="60" customHeight="1">
      <x:c r="A382" s="4" t="n">
        <x:v>383</x:v>
      </x:c>
      <x:c r="B382" s="5" t="str">
        <x:v>GVSR - Oil &amp; Gas Sector Tracker-Value Buys Tracker</x:v>
      </x:c>
      <x:c r="C382" s="5" t="str">
        <x:v>GVSRwealth</x:v>
      </x:c>
      <x:c r="D382" s="5" t="str">
        <x:v>Sector / industry theme</x:v>
      </x:c>
      <x:c r="E382" s="5" t="str">
        <x:v>Oil &amp; gas</x:v>
      </x:c>
      <x:c r="F382" s="5" t="str">
        <x:v>Value / contrarian</x:v>
      </x:c>
      <x:c r="G382" s="6" t="n">
        <x:v>20000</x:v>
      </x:c>
      <x:c r="H382" s="4" t="str">
        <x:v>High</x:v>
      </x:c>
      <x:c r="I382" s="4" t="str">
        <x:v>Fee based</x:v>
      </x:c>
      <x:c r="J382" s="6" t="n">
        <x:v>1233</x:v>
      </x:c>
      <x:c r="K382" s="5" t="str">
        <x:v>This small case focusses on Value Buys in the Oil &amp; Gas Sector. Opportunistic &amp; Tactical play.</x:v>
      </x:c>
      <x:c r="L382" s="5" t="str">
        <x:v>Title and listing description</x:v>
      </x:c>
      <x:c r="M382" s="7" t="d">
        <x:v>2026-04-23T00:00:00.000Z</x:v>
      </x:c>
      <x:c r="N382" s="8" t="str">
        <x:v>https://www.smallcase.com/smallcase/oil-and-gas-sector-tracker-GVSRTR_0001</x:v>
      </x:c>
      <x:c r="O382" s="4" t="str">
        <x:v>GVSRTR_0001</x:v>
      </x:c>
      <x:c r="P382" s="5" t="str"/>
    </x:row>
    <x:row r="383" ht="60" customHeight="1">
      <x:c r="A383" s="4" t="n">
        <x:v>384</x:v>
      </x:c>
      <x:c r="B383" s="5" t="str">
        <x:v>GVSR- Smart Engineering Solutions-Value Buys Theme</x:v>
      </x:c>
      <x:c r="C383" s="5" t="str">
        <x:v>GVSRwealth</x:v>
      </x:c>
      <x:c r="D383" s="5" t="str">
        <x:v>Sector / industry theme</x:v>
      </x:c>
      <x:c r="E383" s="5" t="str">
        <x:v>Water &amp; waste management</x:v>
      </x:c>
      <x:c r="F383" s="5" t="str">
        <x:v>Value / contrarian</x:v>
      </x:c>
      <x:c r="G383" s="6" t="n">
        <x:v>25000</x:v>
      </x:c>
      <x:c r="H383" s="4" t="str">
        <x:v>High</x:v>
      </x:c>
      <x:c r="I383" s="4" t="str">
        <x:v>Fee based</x:v>
      </x:c>
      <x:c r="J383" s="6" t="n">
        <x:v>620</x:v>
      </x:c>
      <x:c r="K383" s="5" t="str">
        <x:v>Stocks / Businesses with focus on water &amp; waste management solutions are added gradually.</x:v>
      </x:c>
      <x:c r="L383" s="5" t="str">
        <x:v>Public detail-page investment rationale</x:v>
      </x:c>
      <x:c r="M383" s="7" t="d">
        <x:v>2026-05-04T00:00:00.000Z</x:v>
      </x:c>
      <x:c r="N383" s="8" t="str">
        <x:v>https://www.smallcase.com/smallcase/eco-friendly-water-management-value-buy-GVSRNM_0002</x:v>
      </x:c>
      <x:c r="O383" s="4" t="str">
        <x:v>GVSRNM_0002</x:v>
      </x:c>
      <x:c r="P383" s="5" t="str"/>
    </x:row>
    <x:row r="384" ht="60" customHeight="1">
      <x:c r="A384" s="4" t="n">
        <x:v>385</x:v>
      </x:c>
      <x:c r="B384" s="5" t="str">
        <x:v>Evergreen Asset Allocation</x:v>
      </x:c>
      <x:c r="C384" s="5" t="str">
        <x:v>Livelong Wealth</x:v>
      </x:c>
      <x:c r="D384" s="5" t="str">
        <x:v>Asset allocation / target date</x:v>
      </x:c>
      <x:c r="E384" s="5" t="str">
        <x:v>No specific industry mandate identified</x:v>
      </x:c>
      <x:c r="F384" s="5" t="str">
        <x:v>Asset allocation</x:v>
      </x:c>
      <x:c r="G384" s="6" t="n">
        <x:v>331</x:v>
      </x:c>
      <x:c r="H384" s="4" t="str">
        <x:v>Medium</x:v>
      </x:c>
      <x:c r="I384" s="4" t="str">
        <x:v>Fee based</x:v>
      </x:c>
      <x:c r="J384" s="6" t="n">
        <x:v>266</x:v>
      </x:c>
      <x:c r="K384" s="5" t="str">
        <x:v>AI-led asset switcher using NiftyBees &amp; GoldBees/Silverbees to deliver low-risk</x:v>
      </x:c>
      <x:c r="L384" s="5" t="str">
        <x:v>No sector tags assigned; see description</x:v>
      </x:c>
      <x:c r="M384" s="7" t="d">
        <x:v>2025-10-24T00:00:00.000Z</x:v>
      </x:c>
      <x:c r="N384" s="8" t="str">
        <x:v>https://www.smallcase.com/smallcase/evergreen-asset-allocation-LIWEET_0003</x:v>
      </x:c>
      <x:c r="O384" s="4" t="str">
        <x:v>LIWEET_0003</x:v>
      </x:c>
      <x:c r="P384" s="5" t="str">
        <x:v>Asset allocation / target date</x:v>
      </x:c>
    </x:row>
    <x:row r="385" ht="60" customHeight="1">
      <x:c r="A385" s="4" t="n">
        <x:v>386</x:v>
      </x:c>
      <x:c r="B385" s="5" t="str">
        <x:v>CAGRwealth Balanced Blend Asset Allocation</x:v>
      </x:c>
      <x:c r="C385" s="5" t="str">
        <x:v>CAGRwealth</x:v>
      </x:c>
      <x:c r="D385" s="5" t="str">
        <x:v>Asset allocation / target date</x:v>
      </x:c>
      <x:c r="E385" s="5" t="str">
        <x:v>No specific industry mandate identified</x:v>
      </x:c>
      <x:c r="F385" s="5" t="str">
        <x:v>Asset allocation</x:v>
      </x:c>
      <x:c r="G385" s="6" t="n">
        <x:v>3678</x:v>
      </x:c>
      <x:c r="H385" s="4" t="str">
        <x:v>Medium</x:v>
      </x:c>
      <x:c r="I385" s="4" t="str">
        <x:v>Fee based</x:v>
      </x:c>
      <x:c r="J385" s="6" t="n">
        <x:v>416</x:v>
      </x:c>
      <x:c r="K385" s="5" t="str">
        <x:v>Passive approach to Factor Investing and Asset Allocation using rule-based rebalancing</x:v>
      </x:c>
      <x:c r="L385" s="5" t="str">
        <x:v>No sector tags assigned; see description</x:v>
      </x:c>
      <x:c r="M385" s="7" t="d">
        <x:v>2026-07-02T00:00:00.000Z</x:v>
      </x:c>
      <x:c r="N385" s="8" t="str">
        <x:v>https://www.smallcase.com/smallcase/cagrwealth-passive-multi-factor-and-asset-allocator-CWEHET_0001</x:v>
      </x:c>
      <x:c r="O385" s="4" t="str">
        <x:v>CWEHET_0001</x:v>
      </x:c>
      <x:c r="P385" s="5" t="str">
        <x:v>Asset allocation / target date</x:v>
      </x:c>
    </x:row>
    <x:row r="386" ht="60" customHeight="1">
      <x:c r="A386" s="4" t="n">
        <x:v>387</x:v>
      </x:c>
      <x:c r="B386" s="5" t="str">
        <x:v>Bluechip Freedom Quant</x:v>
      </x:c>
      <x:c r="C386" s="5" t="str">
        <x:v>Quantace Research</x:v>
      </x:c>
      <x:c r="D386" s="5" t="str">
        <x:v>Diversified / strategy</x:v>
      </x:c>
      <x:c r="E386" s="5" t="str">
        <x:v>No specific industry mandate identified</x:v>
      </x:c>
      <x:c r="F386" s="5" t="str">
        <x:v>Quant / factor</x:v>
      </x:c>
      <x:c r="G386" s="6" t="n">
        <x:v>44807</x:v>
      </x:c>
      <x:c r="H386" s="4" t="str">
        <x:v>Medium</x:v>
      </x:c>
      <x:c r="I386" s="4" t="str">
        <x:v>Fee based</x:v>
      </x:c>
      <x:c r="J386" s="6" t="n">
        <x:v>350</x:v>
      </x:c>
      <x:c r="K386" s="5" t="str">
        <x:v>Freedom Quant Bluechip basket of stocks+ETF to out-perform NIFTY. Rec Size:5+ lakh</x:v>
      </x:c>
      <x:c r="L386" s="5" t="str">
        <x:v>No sector tags assigned; see description</x:v>
      </x:c>
      <x:c r="M386" s="7" t="d">
        <x:v>2026-10-26T00:00:00.000Z</x:v>
      </x:c>
      <x:c r="N386" s="8" t="str">
        <x:v>https://www.smallcase.com/smallcase/bluechip-freedom-lessgreater-QUREMO_0008</x:v>
      </x:c>
      <x:c r="O386" s="4" t="str">
        <x:v>QUREMO_0008</x:v>
      </x:c>
      <x:c r="P386" s="5" t="str">
        <x:v>Diversified; sector mandate not specified</x:v>
      </x:c>
    </x:row>
    <x:row r="387" ht="60" customHeight="1">
      <x:c r="A387" s="4" t="n">
        <x:v>388</x:v>
      </x:c>
      <x:c r="B387" s="5" t="str">
        <x:v>Lotusdew Value Momentum Fundamental</x:v>
      </x:c>
      <x:c r="C387" s="5" t="str">
        <x:v>Lotusdew Wealth</x:v>
      </x:c>
      <x:c r="D387" s="5" t="str">
        <x:v>Diversified / strategy</x:v>
      </x:c>
      <x:c r="E387" s="5" t="str">
        <x:v>No specific industry mandate identified</x:v>
      </x:c>
      <x:c r="F387" s="5" t="str">
        <x:v>Momentum / trend</x:v>
      </x:c>
      <x:c r="G387" s="6" t="n">
        <x:v>89098</x:v>
      </x:c>
      <x:c r="H387" s="4" t="str">
        <x:v>High</x:v>
      </x:c>
      <x:c r="I387" s="4" t="str">
        <x:v>Fee based</x:v>
      </x:c>
      <x:c r="J387" s="6" t="n">
        <x:v>1248</x:v>
      </x:c>
      <x:c r="K387" s="5" t="str">
        <x:v>Undervalued companies with strong fundamentals experiencing or poised for positive momentum</x:v>
      </x:c>
      <x:c r="L387" s="5" t="str">
        <x:v>No sector tags assigned; see description</x:v>
      </x:c>
      <x:c r="M387" s="7" t="d">
        <x:v>2026-08-05T00:00:00.000Z</x:v>
      </x:c>
      <x:c r="N387" s="8" t="str">
        <x:v>https://www.smallcase.com/smallcase/value-momentum-LTDMO_0005</x:v>
      </x:c>
      <x:c r="O387" s="4" t="str">
        <x:v>LTDMO_0005</x:v>
      </x:c>
      <x:c r="P387" s="5" t="str">
        <x:v>Diversified; sector mandate not specified</x:v>
      </x:c>
    </x:row>
    <x:row r="388" ht="60" customHeight="1">
      <x:c r="A388" s="4" t="n">
        <x:v>389</x:v>
      </x:c>
      <x:c r="B388" s="5" t="str">
        <x:v>CAGR Value Momentum Factor Model</x:v>
      </x:c>
      <x:c r="C388" s="5" t="str">
        <x:v>CAGRwealth</x:v>
      </x:c>
      <x:c r="D388" s="5" t="str">
        <x:v>Diversified / strategy</x:v>
      </x:c>
      <x:c r="E388" s="5" t="str">
        <x:v>No specific industry mandate identified</x:v>
      </x:c>
      <x:c r="F388" s="5" t="str">
        <x:v>Momentum / trend</x:v>
      </x:c>
      <x:c r="G388" s="6" t="n">
        <x:v>115741</x:v>
      </x:c>
      <x:c r="H388" s="4" t="str">
        <x:v>High</x:v>
      </x:c>
      <x:c r="I388" s="4" t="str">
        <x:v>Not shown</x:v>
      </x:c>
      <x:c r="J388" s="6"/>
      <x:c r="K388" s="5" t="str">
        <x:v>Automated Portfolio of 25 stocks based on value and momentum factors. Recommended size &gt; 5 lakhs.</x:v>
      </x:c>
      <x:c r="L388" s="5" t="str">
        <x:v>No sector tags assigned; see description</x:v>
      </x:c>
      <x:c r="M388" s="7" t="d">
        <x:v>2026-08-11T00:00:00.000Z</x:v>
      </x:c>
      <x:c r="N388" s="8" t="str">
        <x:v>https://www.smallcase.com/smallcase/cagr-value-momentum-factor-model-CWEHMO_0004</x:v>
      </x:c>
      <x:c r="O388" s="4" t="str">
        <x:v>CWEHMO_0004</x:v>
      </x:c>
      <x:c r="P388" s="5" t="str">
        <x:v>Diversified; sector mandate not specified</x:v>
      </x:c>
    </x:row>
    <x:row r="389" ht="60" customHeight="1">
      <x:c r="A389" s="4" t="n">
        <x:v>390</x:v>
      </x:c>
      <x:c r="B389" s="5" t="str">
        <x:v>Health is Wealth Theme</x:v>
      </x:c>
      <x:c r="C389" s="5" t="str">
        <x:v>Ethical Advisers</x:v>
      </x:c>
      <x:c r="D389" s="5" t="str">
        <x:v>Sector / industry theme</x:v>
      </x:c>
      <x:c r="E389" s="5" t="str">
        <x:v>Pharma &amp; healthcare</x:v>
      </x:c>
      <x:c r="F389" s="5" t="str">
        <x:v>Fundamental / growth / quality</x:v>
      </x:c>
      <x:c r="G389" s="6" t="n">
        <x:v>187788</x:v>
      </x:c>
      <x:c r="H389" s="4" t="str">
        <x:v>Medium</x:v>
      </x:c>
      <x:c r="I389" s="4" t="str">
        <x:v>Fee based</x:v>
      </x:c>
      <x:c r="J389" s="6" t="n">
        <x:v>708</x:v>
      </x:c>
      <x:c r="K389" s="5" t="str">
        <x:v>An ideal mix of Indian pharma, hospital &amp; diagnostic stocks with high growth potential</x:v>
      </x:c>
      <x:c r="L389" s="5" t="str">
        <x:v>Title and listing description</x:v>
      </x:c>
      <x:c r="M389" s="7" t="d">
        <x:v>2026-08-24T00:00:00.000Z</x:v>
      </x:c>
      <x:c r="N389" s="8" t="str">
        <x:v>https://www.smallcase.com/smallcase/health-is-wealth-EHANM_0018</x:v>
      </x:c>
      <x:c r="O389" s="4" t="str">
        <x:v>EHANM_0018</x:v>
      </x:c>
      <x:c r="P389" s="5" t="str"/>
    </x:row>
    <x:row r="390" ht="60" customHeight="1">
      <x:c r="A390" s="4" t="n">
        <x:v>391</x:v>
      </x:c>
      <x:c r="B390" s="5" t="str">
        <x:v>Breakout and Trail Momentum Portfolio Quant</x:v>
      </x:c>
      <x:c r="C390" s="5" t="str">
        <x:v>Nooresh Merani</x:v>
      </x:c>
      <x:c r="D390" s="5" t="str">
        <x:v>Diversified / strategy</x:v>
      </x:c>
      <x:c r="E390" s="5" t="str">
        <x:v>No specific industry mandate identified</x:v>
      </x:c>
      <x:c r="F390" s="5" t="str">
        <x:v>Momentum / trend</x:v>
      </x:c>
      <x:c r="G390" s="6" t="n">
        <x:v>45116</x:v>
      </x:c>
      <x:c r="H390" s="4" t="str">
        <x:v>High</x:v>
      </x:c>
      <x:c r="I390" s="4" t="str">
        <x:v>Fee based</x:v>
      </x:c>
      <x:c r="J390" s="6" t="n">
        <x:v>1376</x:v>
      </x:c>
      <x:c r="K390" s="5" t="str">
        <x:v>Stocks showing momentum and breakout retests with a good risk rewards in place.</x:v>
      </x:c>
      <x:c r="L390" s="5" t="str">
        <x:v>No sector tags assigned; see description</x:v>
      </x:c>
      <x:c r="M390" s="7" t="d">
        <x:v>2026-05-27T00:00:00.000Z</x:v>
      </x:c>
      <x:c r="N390" s="8" t="str">
        <x:v>https://www.smallcase.com/smallcase/breakout-and-trail-momentum-portfolio-NOMMO_0003</x:v>
      </x:c>
      <x:c r="O390" s="4" t="str">
        <x:v>NOMMO_0003</x:v>
      </x:c>
      <x:c r="P390" s="5" t="str">
        <x:v>Diversified; sector mandate not specified</x:v>
      </x:c>
    </x:row>
    <x:row r="391" ht="60" customHeight="1">
      <x:c r="A391" s="4" t="n">
        <x:v>392</x:v>
      </x:c>
      <x:c r="B391" s="5" t="str">
        <x:v>KUBER STAYVAN Model</x:v>
      </x:c>
      <x:c r="C391" s="5" t="str">
        <x:v>Stayvan</x:v>
      </x:c>
      <x:c r="D391" s="5" t="str">
        <x:v>Diversified / strategy</x:v>
      </x:c>
      <x:c r="E391" s="5" t="str">
        <x:v>No specific industry mandate identified</x:v>
      </x:c>
      <x:c r="F391" s="5" t="str">
        <x:v>Fundamental / growth / quality</x:v>
      </x:c>
      <x:c r="G391" s="6" t="n">
        <x:v>19458</x:v>
      </x:c>
      <x:c r="H391" s="4" t="str">
        <x:v>Medium</x:v>
      </x:c>
      <x:c r="I391" s="4" t="str">
        <x:v>Fee based</x:v>
      </x:c>
      <x:c r="J391" s="6" t="n">
        <x:v>499</x:v>
      </x:c>
      <x:c r="K391" s="5" t="str">
        <x:v>Viksit Bharat 2047: structured buying and exits for capital compounding in Bharat growth stocks.</x:v>
      </x:c>
      <x:c r="L391" s="5" t="str">
        <x:v>No sector tags assigned; see description</x:v>
      </x:c>
      <x:c r="M391" s="7" t="d">
        <x:v>2026-09-11T00:00:00.000Z</x:v>
      </x:c>
      <x:c r="N391" s="8" t="str">
        <x:v>https://www.smallcase.com/smallcase/diwali-mahurat-2022-SYVMO_0007</x:v>
      </x:c>
      <x:c r="O391" s="4" t="str">
        <x:v>SYVMO_0007</x:v>
      </x:c>
      <x:c r="P391" s="5" t="str">
        <x:v>Diversified; sector mandate not specified</x:v>
      </x:c>
    </x:row>
    <x:row r="392" ht="60" customHeight="1">
      <x:c r="A392" s="4" t="n">
        <x:v>393</x:v>
      </x:c>
      <x:c r="B392" s="5" t="str">
        <x:v>The Innovators Theme</x:v>
      </x:c>
      <x:c r="C392" s="5" t="str">
        <x:v>Ethical Advisers</x:v>
      </x:c>
      <x:c r="D392" s="5" t="str">
        <x:v>Diversified / strategy</x:v>
      </x:c>
      <x:c r="E392" s="5" t="str">
        <x:v>No specific industry mandate identified</x:v>
      </x:c>
      <x:c r="F392" s="5" t="str">
        <x:v>Other / not specified</x:v>
      </x:c>
      <x:c r="G392" s="6" t="n">
        <x:v>82299</x:v>
      </x:c>
      <x:c r="H392" s="4" t="str">
        <x:v>High</x:v>
      </x:c>
      <x:c r="I392" s="4" t="str">
        <x:v>Fee based</x:v>
      </x:c>
      <x:c r="J392" s="6" t="n">
        <x:v>666</x:v>
      </x:c>
      <x:c r="K392" s="5" t="str">
        <x:v>A curated portfolio of businesses with innovative business models and futuristic capabilities</x:v>
      </x:c>
      <x:c r="L392" s="5" t="str">
        <x:v>No sector tags assigned; see description</x:v>
      </x:c>
      <x:c r="M392" s="7" t="d">
        <x:v>2026-10-21T00:00:00.000Z</x:v>
      </x:c>
      <x:c r="N392" s="8" t="str">
        <x:v>https://www.smallcase.com/smallcase/the-innovators-EHANM_0019</x:v>
      </x:c>
      <x:c r="O392" s="4" t="str">
        <x:v>EHANM_0019</x:v>
      </x:c>
      <x:c r="P392" s="5" t="str">
        <x:v>Innovation / emerging business themes</x:v>
      </x:c>
    </x:row>
    <x:row r="393" ht="60" customHeight="1">
      <x:c r="A393" s="4" t="n">
        <x:v>394</x:v>
      </x:c>
      <x:c r="B393" s="5" t="str">
        <x:v>BULLISH INDIA Technicals Model</x:v>
      </x:c>
      <x:c r="C393" s="5" t="str">
        <x:v>Bullish India</x:v>
      </x:c>
      <x:c r="D393" s="5" t="str">
        <x:v>Diversified / strategy</x:v>
      </x:c>
      <x:c r="E393" s="5" t="str">
        <x:v>No specific industry mandate identified</x:v>
      </x:c>
      <x:c r="F393" s="5" t="str">
        <x:v>Other / not specified</x:v>
      </x:c>
      <x:c r="G393" s="6" t="n">
        <x:v>50000</x:v>
      </x:c>
      <x:c r="H393" s="4" t="str">
        <x:v>High</x:v>
      </x:c>
      <x:c r="I393" s="4" t="str">
        <x:v>Fee based</x:v>
      </x:c>
      <x:c r="J393" s="6" t="n">
        <x:v>1666</x:v>
      </x:c>
      <x:c r="K393" s="5" t="str">
        <x:v>Take a disciplined investment approach with 'BULLISH INDIA Technicals</x:v>
      </x:c>
      <x:c r="L393" s="5" t="str">
        <x:v>No sector tags assigned; see description</x:v>
      </x:c>
      <x:c r="M393" s="7" t="d">
        <x:v>2026-10-19T00:00:00.000Z</x:v>
      </x:c>
      <x:c r="N393" s="8" t="str">
        <x:v>https://www.smallcase.com/smallcase/bullish-india-technicals-BULLMO_0004</x:v>
      </x:c>
      <x:c r="O393" s="4" t="str">
        <x:v>BULLMO_0004</x:v>
      </x:c>
      <x:c r="P393" s="5" t="str">
        <x:v>Diversified; sector mandate not specified</x:v>
      </x:c>
    </x:row>
    <x:row r="394" ht="60" customHeight="1">
      <x:c r="A394" s="4" t="n">
        <x:v>395</x:v>
      </x:c>
      <x:c r="B394" s="5" t="str">
        <x:v>Omni Ayodhya &amp; UP Theme</x:v>
      </x:c>
      <x:c r="C394" s="5" t="str">
        <x:v>Omniscience Capital</x:v>
      </x:c>
      <x:c r="D394" s="5" t="str">
        <x:v>Diversified / strategy</x:v>
      </x:c>
      <x:c r="E394" s="5" t="str">
        <x:v>No specific industry mandate identified</x:v>
      </x:c>
      <x:c r="F394" s="5" t="str">
        <x:v>Other / not specified</x:v>
      </x:c>
      <x:c r="G394" s="6" t="n">
        <x:v>250000</x:v>
      </x:c>
      <x:c r="H394" s="4" t="str">
        <x:v>High</x:v>
      </x:c>
      <x:c r="I394" s="4" t="str">
        <x:v>Fee based</x:v>
      </x:c>
      <x:c r="J394" s="6" t="n">
        <x:v>2158</x:v>
      </x:c>
      <x:c r="K394" s="5" t="str">
        <x:v>Invest for Ayodhya, Stay for Development and Gain from UP.</x:v>
      </x:c>
      <x:c r="L394" s="5" t="str">
        <x:v>No sector tags assigned; see description</x:v>
      </x:c>
      <x:c r="M394" s="7" t="d">
        <x:v>2026-09-17T00:00:00.000Z</x:v>
      </x:c>
      <x:c r="N394" s="8" t="str">
        <x:v>https://www.smallcase.com/smallcase/omni-ayodhya-and-up-OMNNM_0024</x:v>
      </x:c>
      <x:c r="O394" s="4" t="str">
        <x:v>OMNNM_0024</x:v>
      </x:c>
      <x:c r="P394" s="5" t="str">
        <x:v>Ayodhya / Uttar Pradesh development</x:v>
      </x:c>
    </x:row>
    <x:row r="395" ht="60" customHeight="1">
      <x:c r="A395" s="4" t="n">
        <x:v>396</x:v>
      </x:c>
      <x:c r="B395" s="5" t="str">
        <x:v>Finpire Swift Surge Portfolio Fundamental</x:v>
      </x:c>
      <x:c r="C395" s="5" t="str">
        <x:v>FINPIRE Capital Research</x:v>
      </x:c>
      <x:c r="D395" s="5" t="str">
        <x:v>Diversified / strategy</x:v>
      </x:c>
      <x:c r="E395" s="5" t="str">
        <x:v>No specific industry mandate identified</x:v>
      </x:c>
      <x:c r="F395" s="5" t="str">
        <x:v>Fundamental / growth / quality</x:v>
      </x:c>
      <x:c r="G395" s="6" t="n">
        <x:v>100000</x:v>
      </x:c>
      <x:c r="H395" s="4" t="str">
        <x:v>High</x:v>
      </x:c>
      <x:c r="I395" s="4" t="str">
        <x:v>Not shown</x:v>
      </x:c>
      <x:c r="J395" s="6"/>
      <x:c r="K395" s="5" t="str">
        <x:v>Designed for investors seeking dynamic and swift returns in portfolio. Focuses on rapid growth.</x:v>
      </x:c>
      <x:c r="L395" s="5" t="str">
        <x:v>No sector tags assigned; see description</x:v>
      </x:c>
      <x:c r="M395" s="7" t="d">
        <x:v>2026-06-17T00:00:00.000Z</x:v>
      </x:c>
      <x:c r="N395" s="8" t="str">
        <x:v>https://www.smallcase.com/smallcase/finpire-swift-surge-portfolio-FIINMO_0003</x:v>
      </x:c>
      <x:c r="O395" s="4" t="str">
        <x:v>FIINMO_0003</x:v>
      </x:c>
      <x:c r="P395" s="5" t="str">
        <x:v>Diversified; sector mandate not specified</x:v>
      </x:c>
    </x:row>
    <x:row r="396" ht="60" customHeight="1">
      <x:c r="A396" s="4" t="n">
        <x:v>397</x:v>
      </x:c>
      <x:c r="B396" s="5" t="str">
        <x:v>GALAXY TOP 10 Fundamental</x:v>
      </x:c>
      <x:c r="C396" s="5" t="str">
        <x:v>LaMoksh</x:v>
      </x:c>
      <x:c r="D396" s="5" t="str">
        <x:v>Diversified / strategy</x:v>
      </x:c>
      <x:c r="E396" s="5" t="str">
        <x:v>No specific industry mandate identified</x:v>
      </x:c>
      <x:c r="F396" s="5" t="str">
        <x:v>Fundamental / growth / quality</x:v>
      </x:c>
      <x:c r="G396" s="6" t="n">
        <x:v>25781</x:v>
      </x:c>
      <x:c r="H396" s="4" t="str">
        <x:v>High</x:v>
      </x:c>
      <x:c r="I396" s="4" t="str">
        <x:v>Fee based</x:v>
      </x:c>
      <x:c r="J396" s="6" t="n">
        <x:v>458</x:v>
      </x:c>
      <x:c r="K396" s="5" t="str">
        <x:v>Galaxy Superstar is a collection of 10 highly lucrative, fundamentally strong stock.</x:v>
      </x:c>
      <x:c r="L396" s="5" t="str">
        <x:v>No sector tags assigned; see description</x:v>
      </x:c>
      <x:c r="M396" s="7" t="d">
        <x:v>2026-09-17T00:00:00.000Z</x:v>
      </x:c>
      <x:c r="N396" s="8" t="str">
        <x:v>https://www.smallcase.com/smallcase/galaxy-superstar-top-10-LAMMO_0007</x:v>
      </x:c>
      <x:c r="O396" s="4" t="str">
        <x:v>LAMMO_0007</x:v>
      </x:c>
      <x:c r="P396" s="5" t="str">
        <x:v>Diversified; sector mandate not specified</x:v>
      </x:c>
    </x:row>
    <x:row r="397" ht="60" customHeight="1">
      <x:c r="A397" s="4" t="n">
        <x:v>398</x:v>
      </x:c>
      <x:c r="B397" s="5" t="str">
        <x:v>WC TechnoFunda Theme</x:v>
      </x:c>
      <x:c r="C397" s="5" t="str">
        <x:v>Wealth Culture</x:v>
      </x:c>
      <x:c r="D397" s="5" t="str">
        <x:v>Diversified / strategy</x:v>
      </x:c>
      <x:c r="E397" s="5" t="str">
        <x:v>No specific industry mandate identified</x:v>
      </x:c>
      <x:c r="F397" s="5" t="str">
        <x:v>Fundamental / growth / quality</x:v>
      </x:c>
      <x:c r="G397" s="6" t="n">
        <x:v>7500</x:v>
      </x:c>
      <x:c r="H397" s="4" t="str">
        <x:v>High</x:v>
      </x:c>
      <x:c r="I397" s="4" t="str">
        <x:v>Fee based</x:v>
      </x:c>
      <x:c r="J397" s="6" t="n">
        <x:v>833</x:v>
      </x:c>
      <x:c r="K397" s="5" t="str">
        <x:v>Invest in business cycles depending on their peaks and throughs using fundamentals and technicals.</x:v>
      </x:c>
      <x:c r="L397" s="5" t="str">
        <x:v>No sector tags assigned; see description</x:v>
      </x:c>
      <x:c r="M397" s="7" t="d">
        <x:v>2025-11-04T00:00:00.000Z</x:v>
      </x:c>
      <x:c r="N397" s="8" t="str">
        <x:v>https://www.smallcase.com/smallcase/sg-demo-model-portfolio-WECEMO_0014</x:v>
      </x:c>
      <x:c r="O397" s="4" t="str">
        <x:v>WECEMO_0014</x:v>
      </x:c>
      <x:c r="P397" s="5" t="str">
        <x:v>Diversified; sector mandate not specified</x:v>
      </x:c>
    </x:row>
    <x:row r="398" ht="60" customHeight="1">
      <x:c r="A398" s="4" t="n">
        <x:v>399</x:v>
      </x:c>
      <x:c r="B398" s="5" t="str">
        <x:v>Triumph Multi-Strategy Portfolio Quant</x:v>
      </x:c>
      <x:c r="C398" s="5" t="str">
        <x:v>SmartWealth.ai</x:v>
      </x:c>
      <x:c r="D398" s="5" t="str">
        <x:v>Diversified / strategy</x:v>
      </x:c>
      <x:c r="E398" s="5" t="str">
        <x:v>No specific industry mandate identified</x:v>
      </x:c>
      <x:c r="F398" s="5" t="str">
        <x:v>Momentum / trend</x:v>
      </x:c>
      <x:c r="G398" s="6" t="n">
        <x:v>100000</x:v>
      </x:c>
      <x:c r="H398" s="4" t="str">
        <x:v>High</x:v>
      </x:c>
      <x:c r="I398" s="4" t="str">
        <x:v>Fee based</x:v>
      </x:c>
      <x:c r="J398" s="6" t="n">
        <x:v>3736</x:v>
      </x:c>
      <x:c r="K398" s="5" t="str">
        <x:v>Comprehensive Momentum Stocks, Assets &amp; Factors Portfolio – Invest Up to ₹75 Lacs</x:v>
      </x:c>
      <x:c r="L398" s="5" t="str">
        <x:v>No sector tags assigned; see description</x:v>
      </x:c>
      <x:c r="M398" s="7" t="d">
        <x:v>2026-10-22T00:00:00.000Z</x:v>
      </x:c>
      <x:c r="N398" s="8" t="str">
        <x:v>https://www.smallcase.com/smallcase/triumph-multi-strategy-portfolio-(weekly)-SMWAMO_0019</x:v>
      </x:c>
      <x:c r="O398" s="4" t="str">
        <x:v>SMWAMO_0019</x:v>
      </x:c>
      <x:c r="P398" s="5" t="str">
        <x:v>Diversified; sector mandate not specified</x:v>
      </x:c>
    </x:row>
    <x:row r="399" ht="60" customHeight="1">
      <x:c r="A399" s="4" t="n">
        <x:v>400</x:v>
      </x:c>
      <x:c r="B399" s="5" t="str">
        <x:v>Intrinsic Value Cash King Fundamental</x:v>
      </x:c>
      <x:c r="C399" s="5" t="str">
        <x:v>Intrinsic Value</x:v>
      </x:c>
      <x:c r="D399" s="5" t="str">
        <x:v>Diversified / strategy</x:v>
      </x:c>
      <x:c r="E399" s="5" t="str">
        <x:v>No specific industry mandate identified</x:v>
      </x:c>
      <x:c r="F399" s="5" t="str">
        <x:v>Value / contrarian</x:v>
      </x:c>
      <x:c r="G399" s="6" t="n">
        <x:v>6916</x:v>
      </x:c>
      <x:c r="H399" s="4" t="str">
        <x:v>High</x:v>
      </x:c>
      <x:c r="I399" s="4" t="str">
        <x:v>Fee based</x:v>
      </x:c>
      <x:c r="J399" s="6" t="n">
        <x:v>1249</x:v>
      </x:c>
      <x:c r="K399" s="5" t="str">
        <x:v>Companies with a higher capex potential || Preferred amount to be invested more than 4 Lacs ||</x:v>
      </x:c>
      <x:c r="L399" s="5" t="str">
        <x:v>No sector tags assigned; see description</x:v>
      </x:c>
      <x:c r="M399" s="7" t="d">
        <x:v>2026-10-26T00:00:00.000Z</x:v>
      </x:c>
      <x:c r="N399" s="8" t="str">
        <x:v>https://www.smallcase.com/smallcase/intrinsic-value-cash-king-INTRNM_0001</x:v>
      </x:c>
      <x:c r="O399" s="4" t="str">
        <x:v>INTRNM_0001</x:v>
      </x:c>
      <x:c r="P399" s="5" t="str">
        <x:v>Diversified; sector mandate not specified</x:v>
      </x:c>
    </x:row>
    <x:row r="400" ht="60" customHeight="1">
      <x:c r="A400" s="4" t="n">
        <x:v>401</x:v>
      </x:c>
      <x:c r="B400" s="5" t="str">
        <x:v>PINC Momentum Fundamental</x:v>
      </x:c>
      <x:c r="C400" s="5" t="str">
        <x:v>Pioneer Wealth Management</x:v>
      </x:c>
      <x:c r="D400" s="5" t="str">
        <x:v>Diversified / strategy</x:v>
      </x:c>
      <x:c r="E400" s="5" t="str">
        <x:v>No specific industry mandate identified</x:v>
      </x:c>
      <x:c r="F400" s="5" t="str">
        <x:v>Momentum / trend</x:v>
      </x:c>
      <x:c r="G400" s="6" t="n">
        <x:v>25240</x:v>
      </x:c>
      <x:c r="H400" s="4" t="str">
        <x:v>High</x:v>
      </x:c>
      <x:c r="I400" s="4" t="str">
        <x:v>Fee based</x:v>
      </x:c>
      <x:c r="J400" s="6" t="n">
        <x:v>791</x:v>
      </x:c>
      <x:c r="K400" s="5" t="str">
        <x:v>This portfolio will focus on stocks where visibility in earnings continue for the next 4-6 quarters</x:v>
      </x:c>
      <x:c r="L400" s="5" t="str">
        <x:v>No sector tags assigned; see description</x:v>
      </x:c>
      <x:c r="M400" s="7" t="d">
        <x:v>2026-09-03T00:00:00.000Z</x:v>
      </x:c>
      <x:c r="N400" s="8" t="str">
        <x:v>https://www.smallcase.com/smallcase/pioneer-earning's-traction-PWMSMO_0001</x:v>
      </x:c>
      <x:c r="O400" s="4" t="str">
        <x:v>PWMSMO_0001</x:v>
      </x:c>
      <x:c r="P400" s="5" t="str">
        <x:v>Diversified; sector mandate not specified</x:v>
      </x:c>
    </x:row>
    <x:row r="401" ht="60" customHeight="1">
      <x:c r="A401" s="4" t="n">
        <x:v>402</x:v>
      </x:c>
      <x:c r="B401" s="5" t="str">
        <x:v>Bedrock Portfolio Fundamental</x:v>
      </x:c>
      <x:c r="C401" s="5" t="str">
        <x:v>WealthTrust Capital Services</x:v>
      </x:c>
      <x:c r="D401" s="5" t="str">
        <x:v>Diversified / strategy</x:v>
      </x:c>
      <x:c r="E401" s="5" t="str">
        <x:v>No specific industry mandate identified</x:v>
      </x:c>
      <x:c r="F401" s="5" t="str">
        <x:v>Fundamental / growth / quality</x:v>
      </x:c>
      <x:c r="G401" s="6" t="n">
        <x:v>48131</x:v>
      </x:c>
      <x:c r="H401" s="4" t="str">
        <x:v>High</x:v>
      </x:c>
      <x:c r="I401" s="4" t="str">
        <x:v>Fee based</x:v>
      </x:c>
      <x:c r="J401" s="6" t="n">
        <x:v>835</x:v>
      </x:c>
      <x:c r="K401" s="5" t="str">
        <x:v>This diversified portfolio includes engineering, banking, and FMCG stocks, offering stability.</x:v>
      </x:c>
      <x:c r="L401" s="5" t="str">
        <x:v>No sector tags assigned; see description</x:v>
      </x:c>
      <x:c r="M401" s="7" t="d">
        <x:v>2026-08-04T00:00:00.000Z</x:v>
      </x:c>
      <x:c r="N401" s="8" t="str">
        <x:v>https://www.smallcase.com/smallcase/multibagger-portfolio-WETRMO_0007</x:v>
      </x:c>
      <x:c r="O401" s="4" t="str">
        <x:v>WETRMO_0007</x:v>
      </x:c>
      <x:c r="P401" s="5" t="str">
        <x:v>Diversified; sector mandate not specified</x:v>
      </x:c>
    </x:row>
    <x:row r="402" ht="60" customHeight="1">
      <x:c r="A402" s="4" t="n">
        <x:v>403</x:v>
      </x:c>
      <x:c r="B402" s="5" t="str">
        <x:v>Wright HNI Quant Advantage Model</x:v>
      </x:c>
      <x:c r="C402" s="5" t="str">
        <x:v>Wright Research</x:v>
      </x:c>
      <x:c r="D402" s="5" t="str">
        <x:v>Diversified / strategy</x:v>
      </x:c>
      <x:c r="E402" s="5" t="str">
        <x:v>No specific industry mandate identified</x:v>
      </x:c>
      <x:c r="F402" s="5" t="str">
        <x:v>Quant / factor</x:v>
      </x:c>
      <x:c r="G402" s="6" t="n">
        <x:v>434389</x:v>
      </x:c>
      <x:c r="H402" s="4" t="str">
        <x:v>High</x:v>
      </x:c>
      <x:c r="I402" s="4" t="str">
        <x:v>Fee based</x:v>
      </x:c>
      <x:c r="J402" s="6" t="n">
        <x:v>3933</x:v>
      </x:c>
      <x:c r="K402" s="5" t="str">
        <x:v>Data driven multifactor investing strategy exclusively for HNI with active rebalances | Rec Amt &gt;25L</x:v>
      </x:c>
      <x:c r="L402" s="5" t="str">
        <x:v>No sector tags assigned; see description</x:v>
      </x:c>
      <x:c r="M402" s="7" t="d">
        <x:v>2026-10-26T00:00:00.000Z</x:v>
      </x:c>
      <x:c r="N402" s="8" t="str">
        <x:v>https://www.smallcase.com/smallcase/wright-hni-quant-advantage-WRTMO_0020</x:v>
      </x:c>
      <x:c r="O402" s="4" t="str">
        <x:v>WRTMO_0020</x:v>
      </x:c>
      <x:c r="P402" s="5" t="str">
        <x:v>Diversified; sector mandate not specified</x:v>
      </x:c>
    </x:row>
    <x:row r="403" ht="60" customHeight="1">
      <x:c r="A403" s="4" t="n">
        <x:v>404</x:v>
      </x:c>
      <x:c r="B403" s="5" t="str">
        <x:v>Wright Titan Quality Model</x:v>
      </x:c>
      <x:c r="C403" s="5" t="str">
        <x:v>Wright Research</x:v>
      </x:c>
      <x:c r="D403" s="5" t="str">
        <x:v>Diversified / strategy</x:v>
      </x:c>
      <x:c r="E403" s="5" t="str">
        <x:v>No specific industry mandate identified</x:v>
      </x:c>
      <x:c r="F403" s="5" t="str">
        <x:v>Fundamental / growth / quality</x:v>
      </x:c>
      <x:c r="G403" s="6" t="n">
        <x:v>102321</x:v>
      </x:c>
      <x:c r="H403" s="4" t="str">
        <x:v>Medium</x:v>
      </x:c>
      <x:c r="I403" s="4" t="str">
        <x:v>Fee based</x:v>
      </x:c>
      <x:c r="J403" s="6" t="n">
        <x:v>833</x:v>
      </x:c>
      <x:c r="K403" s="5" t="str">
        <x:v>Embrace large-caps for steady returns.</x:v>
      </x:c>
      <x:c r="L403" s="5" t="str">
        <x:v>No sector tags assigned; see description</x:v>
      </x:c>
      <x:c r="M403" s="7" t="d">
        <x:v>2026-10-26T00:00:00.000Z</x:v>
      </x:c>
      <x:c r="N403" s="8" t="str">
        <x:v>https://www.smallcase.com/smallcase/large-cap-WRTMO_0022</x:v>
      </x:c>
      <x:c r="O403" s="4" t="str">
        <x:v>WRTMO_0022</x:v>
      </x:c>
      <x:c r="P403" s="5" t="str">
        <x:v>Diversified; sector mandate not specified</x:v>
      </x:c>
    </x:row>
    <x:row r="404" ht="60" customHeight="1">
      <x:c r="A404" s="4" t="n">
        <x:v>405</x:v>
      </x:c>
      <x:c r="B404" s="5" t="str">
        <x:v>PINC Classic Compounder Fundamental</x:v>
      </x:c>
      <x:c r="C404" s="5" t="str">
        <x:v>Pioneer Wealth Management</x:v>
      </x:c>
      <x:c r="D404" s="5" t="str">
        <x:v>Diversified / strategy</x:v>
      </x:c>
      <x:c r="E404" s="5" t="str">
        <x:v>No specific industry mandate identified</x:v>
      </x:c>
      <x:c r="F404" s="5" t="str">
        <x:v>Fundamental / growth / quality</x:v>
      </x:c>
      <x:c r="G404" s="6" t="n">
        <x:v>152243</x:v>
      </x:c>
      <x:c r="H404" s="4" t="str">
        <x:v>High</x:v>
      </x:c>
      <x:c r="I404" s="4" t="str">
        <x:v>Fee based</x:v>
      </x:c>
      <x:c r="J404" s="6" t="n">
        <x:v>791</x:v>
      </x:c>
      <x:c r="K404" s="5" t="str">
        <x:v>Stocks with a growth potential of 15-20% in 3-5 years horizon</x:v>
      </x:c>
      <x:c r="L404" s="5" t="str">
        <x:v>No sector tags assigned; see description</x:v>
      </x:c>
      <x:c r="M404" s="7" t="d">
        <x:v>2026-09-03T00:00:00.000Z</x:v>
      </x:c>
      <x:c r="N404" s="8" t="str">
        <x:v>https://www.smallcase.com/smallcase/pinc-classic-compounder-PWMSMO_0002</x:v>
      </x:c>
      <x:c r="O404" s="4" t="str">
        <x:v>PWMSMO_0002</x:v>
      </x:c>
      <x:c r="P404" s="5" t="str">
        <x:v>Diversified; sector mandate not specified</x:v>
      </x:c>
    </x:row>
    <x:row r="405" ht="60" customHeight="1">
      <x:c r="A405" s="4" t="n">
        <x:v>406</x:v>
      </x:c>
      <x:c r="B405" s="5" t="str">
        <x:v>Lotusdew Nanocap Champs Theme</x:v>
      </x:c>
      <x:c r="C405" s="5" t="str">
        <x:v>Lotusdew Wealth</x:v>
      </x:c>
      <x:c r="D405" s="5" t="str">
        <x:v>Diversified / strategy</x:v>
      </x:c>
      <x:c r="E405" s="5" t="str">
        <x:v>No specific industry mandate identified</x:v>
      </x:c>
      <x:c r="F405" s="5" t="str">
        <x:v>Other / not specified</x:v>
      </x:c>
      <x:c r="G405" s="6" t="n">
        <x:v>66300</x:v>
      </x:c>
      <x:c r="H405" s="4" t="str">
        <x:v>High</x:v>
      </x:c>
      <x:c r="I405" s="4" t="str">
        <x:v>Fee based</x:v>
      </x:c>
      <x:c r="J405" s="6" t="n">
        <x:v>1248</x:v>
      </x:c>
      <x:c r="K405" s="5" t="str">
        <x:v>Nanocap companies less than 500 crores with potential to grow their earnings and market share</x:v>
      </x:c>
      <x:c r="L405" s="5" t="str">
        <x:v>No sector tags assigned; see description</x:v>
      </x:c>
      <x:c r="M405" s="7" t="d">
        <x:v>2026-06-25T00:00:00.000Z</x:v>
      </x:c>
      <x:c r="N405" s="8" t="str">
        <x:v>https://www.smallcase.com/smallcase/nanocap-champs-LTDMO_0002</x:v>
      </x:c>
      <x:c r="O405" s="4" t="str">
        <x:v>LTDMO_0002</x:v>
      </x:c>
      <x:c r="P405" s="5" t="str">
        <x:v>Diversified; sector mandate not specified</x:v>
      </x:c>
    </x:row>
    <x:row r="406" ht="60" customHeight="1">
      <x:c r="A406" s="4" t="n">
        <x:v>407</x:v>
      </x:c>
      <x:c r="B406" s="5" t="str">
        <x:v>ETF Powerpack Intermediate Asset Allocation</x:v>
      </x:c>
      <x:c r="C406" s="5" t="str">
        <x:v>Ethical Advisers</x:v>
      </x:c>
      <x:c r="D406" s="5" t="str">
        <x:v>Asset allocation / target date</x:v>
      </x:c>
      <x:c r="E406" s="5" t="str">
        <x:v>No specific industry mandate identified</x:v>
      </x:c>
      <x:c r="F406" s="5" t="str">
        <x:v>Asset allocation</x:v>
      </x:c>
      <x:c r="G406" s="6" t="n">
        <x:v>3985</x:v>
      </x:c>
      <x:c r="H406" s="4" t="str">
        <x:v>Medium</x:v>
      </x:c>
      <x:c r="I406" s="4" t="str">
        <x:v>Fee based</x:v>
      </x:c>
      <x:c r="J406" s="6" t="n">
        <x:v>12</x:v>
      </x:c>
      <x:c r="K406" s="5" t="str">
        <x:v>An ideal combination of listed equity ETFs, Gold and Debt for moderately experienced investors.</x:v>
      </x:c>
      <x:c r="L406" s="5" t="str">
        <x:v>No sector tags assigned; see description</x:v>
      </x:c>
      <x:c r="M406" s="7" t="d">
        <x:v>2026-08-24T00:00:00.000Z</x:v>
      </x:c>
      <x:c r="N406" s="8" t="str">
        <x:v>https://www.smallcase.com/smallcase/etf-powerpack_intermediate-EHAET_0001</x:v>
      </x:c>
      <x:c r="O406" s="4" t="str">
        <x:v>EHAET_0001</x:v>
      </x:c>
      <x:c r="P406" s="5" t="str">
        <x:v>Asset allocation / target date</x:v>
      </x:c>
    </x:row>
    <x:row r="407" ht="60" customHeight="1">
      <x:c r="A407" s="4" t="n">
        <x:v>408</x:v>
      </x:c>
      <x:c r="B407" s="5" t="str">
        <x:v>ETF Powerpack for Beginners Asset Allocation</x:v>
      </x:c>
      <x:c r="C407" s="5" t="str">
        <x:v>Ethical Advisers</x:v>
      </x:c>
      <x:c r="D407" s="5" t="str">
        <x:v>Asset allocation / target date</x:v>
      </x:c>
      <x:c r="E407" s="5" t="str">
        <x:v>No specific industry mandate identified</x:v>
      </x:c>
      <x:c r="F407" s="5" t="str">
        <x:v>Asset allocation</x:v>
      </x:c>
      <x:c r="G407" s="6" t="n">
        <x:v>5687</x:v>
      </x:c>
      <x:c r="H407" s="4" t="str">
        <x:v>Medium</x:v>
      </x:c>
      <x:c r="I407" s="4" t="str">
        <x:v>Fee based</x:v>
      </x:c>
      <x:c r="J407" s="6" t="n">
        <x:v>12</x:v>
      </x:c>
      <x:c r="K407" s="5" t="str">
        <x:v>An ideal combination of listed equity ETFs, Gold and Debt for risk averse investors.</x:v>
      </x:c>
      <x:c r="L407" s="5" t="str">
        <x:v>No sector tags assigned; see description</x:v>
      </x:c>
      <x:c r="M407" s="7" t="d">
        <x:v>2026-08-24T00:00:00.000Z</x:v>
      </x:c>
      <x:c r="N407" s="8" t="str">
        <x:v>https://www.smallcase.com/smallcase/etf-powerpack_beginners-EHAET_0003</x:v>
      </x:c>
      <x:c r="O407" s="4" t="str">
        <x:v>EHAET_0003</x:v>
      </x:c>
      <x:c r="P407" s="5" t="str">
        <x:v>Asset allocation / target date</x:v>
      </x:c>
    </x:row>
    <x:row r="408" ht="60" customHeight="1">
      <x:c r="A408" s="4" t="n">
        <x:v>409</x:v>
      </x:c>
      <x:c r="B408" s="5" t="str">
        <x:v>GoalFi Multi Factor Dynamic Flexi Cap Model</x:v>
      </x:c>
      <x:c r="C408" s="5" t="str">
        <x:v>GoalFi</x:v>
      </x:c>
      <x:c r="D408" s="5" t="str">
        <x:v>Diversified / strategy</x:v>
      </x:c>
      <x:c r="E408" s="5" t="str">
        <x:v>No specific industry mandate identified</x:v>
      </x:c>
      <x:c r="F408" s="5" t="str">
        <x:v>Quant / factor</x:v>
      </x:c>
      <x:c r="G408" s="6" t="n">
        <x:v>300000</x:v>
      </x:c>
      <x:c r="H408" s="4" t="str">
        <x:v>High</x:v>
      </x:c>
      <x:c r="I408" s="4" t="str">
        <x:v>Fee based</x:v>
      </x:c>
      <x:c r="J408" s="6" t="n">
        <x:v>1166</x:v>
      </x:c>
      <x:c r="K408" s="5" t="str">
        <x:v>A multi-factor strategy holding 12 stocks from the Nifty 500, rebalanced monthly.</x:v>
      </x:c>
      <x:c r="L408" s="5" t="str">
        <x:v>No sector tags assigned; see description</x:v>
      </x:c>
      <x:c r="M408" s="7" t="d">
        <x:v>2026-10-28T00:00:00.000Z</x:v>
      </x:c>
      <x:c r="N408" s="8" t="str">
        <x:v>https://www.smallcase.com/smallcase/multi-factor-wealth-maximizer-GOALMO_0134</x:v>
      </x:c>
      <x:c r="O408" s="4" t="str">
        <x:v>GOALMO_0134</x:v>
      </x:c>
      <x:c r="P408" s="5" t="str">
        <x:v>Diversified; sector mandate not specified</x:v>
      </x:c>
    </x:row>
    <x:row r="409" ht="60" customHeight="1">
      <x:c r="A409" s="4" t="n">
        <x:v>410</x:v>
      </x:c>
      <x:c r="B409" s="5" t="str">
        <x:v>Care Large &amp; Midcap Fundamental</x:v>
      </x:c>
      <x:c r="C409" s="5" t="str">
        <x:v>CARE PORTFOLIO MANAGERS PRIVATE LIMITED</x:v>
      </x:c>
      <x:c r="D409" s="5" t="str">
        <x:v>Diversified / strategy</x:v>
      </x:c>
      <x:c r="E409" s="5" t="str">
        <x:v>No specific industry mandate identified</x:v>
      </x:c>
      <x:c r="F409" s="5" t="str">
        <x:v>Fundamental / growth / quality</x:v>
      </x:c>
      <x:c r="G409" s="6" t="n">
        <x:v>1000000</x:v>
      </x:c>
      <x:c r="H409" s="4" t="str">
        <x:v>High</x:v>
      </x:c>
      <x:c r="I409" s="4" t="str">
        <x:v>Not shown</x:v>
      </x:c>
      <x:c r="J409" s="6"/>
      <x:c r="K409" s="5" t="str">
        <x:v>15 -20 Companies Portfolio from Top 250 Companies by Market Cap</x:v>
      </x:c>
      <x:c r="L409" s="5" t="str">
        <x:v>No sector tags assigned; see description</x:v>
      </x:c>
      <x:c r="M409" s="7" t="d">
        <x:v>2026-10-28T00:00:00.000Z</x:v>
      </x:c>
      <x:c r="N409" s="8" t="str">
        <x:v>https://www.smallcase.com/smallcase/care-pms-large-and-midcap-CAPMMO_0002</x:v>
      </x:c>
      <x:c r="O409" s="4" t="str">
        <x:v>CAPMMO_0002</x:v>
      </x:c>
      <x:c r="P409" s="5" t="str">
        <x:v>Diversified; sector mandate not specified</x:v>
      </x:c>
    </x:row>
    <x:row r="410" ht="60" customHeight="1">
      <x:c r="A410" s="4" t="n">
        <x:v>411</x:v>
      </x:c>
      <x:c r="B410" s="5" t="str">
        <x:v>Flexicap Quant</x:v>
      </x:c>
      <x:c r="C410" s="5" t="str">
        <x:v>Quantace Research</x:v>
      </x:c>
      <x:c r="D410" s="5" t="str">
        <x:v>Diversified / strategy</x:v>
      </x:c>
      <x:c r="E410" s="5" t="str">
        <x:v>No specific industry mandate identified</x:v>
      </x:c>
      <x:c r="F410" s="5" t="str">
        <x:v>Quant / factor</x:v>
      </x:c>
      <x:c r="G410" s="6" t="n">
        <x:v>137950</x:v>
      </x:c>
      <x:c r="H410" s="4" t="str">
        <x:v>High</x:v>
      </x:c>
      <x:c r="I410" s="4" t="str">
        <x:v>Fee based</x:v>
      </x:c>
      <x:c r="J410" s="6" t="n">
        <x:v>700</x:v>
      </x:c>
      <x:c r="K410" s="5" t="str">
        <x:v>Experience Flexibility with carefully picked stocks from Top 500 Names by Market Cap. Rec 5-25 Lakhs</x:v>
      </x:c>
      <x:c r="L410" s="5" t="str">
        <x:v>No sector tags assigned; see description</x:v>
      </x:c>
      <x:c r="M410" s="7" t="d">
        <x:v>2026-10-26T00:00:00.000Z</x:v>
      </x:c>
      <x:c r="N410" s="8" t="str">
        <x:v>https://www.smallcase.com/smallcase/nifty500-citius-nifty-multicap(cnx500)-QUREMO_0017</x:v>
      </x:c>
      <x:c r="O410" s="4" t="str">
        <x:v>QUREMO_0017</x:v>
      </x:c>
      <x:c r="P410" s="5" t="str">
        <x:v>Diversified; sector mandate not specified</x:v>
      </x:c>
    </x:row>
    <x:row r="411" ht="60" customHeight="1">
      <x:c r="A411" s="4" t="n">
        <x:v>412</x:v>
      </x:c>
      <x:c r="B411" s="5" t="str">
        <x:v>Swing Trading Portfolio Quant</x:v>
      </x:c>
      <x:c r="C411" s="5" t="str">
        <x:v>StoxBazar</x:v>
      </x:c>
      <x:c r="D411" s="5" t="str">
        <x:v>Diversified / strategy</x:v>
      </x:c>
      <x:c r="E411" s="5" t="str">
        <x:v>No specific industry mandate identified</x:v>
      </x:c>
      <x:c r="F411" s="5" t="str">
        <x:v>Quant / factor</x:v>
      </x:c>
      <x:c r="G411" s="6" t="n">
        <x:v>34340</x:v>
      </x:c>
      <x:c r="H411" s="4" t="str">
        <x:v>High</x:v>
      </x:c>
      <x:c r="I411" s="4" t="str">
        <x:v>Fee based</x:v>
      </x:c>
      <x:c r="J411" s="6" t="n">
        <x:v>583</x:v>
      </x:c>
      <x:c r="K411" s="5" t="str">
        <x:v>The goal of this strategy is to capture short- or medium-terms profits.</x:v>
      </x:c>
      <x:c r="L411" s="5" t="str">
        <x:v>No sector tags assigned; see description</x:v>
      </x:c>
      <x:c r="M411" s="7" t="d">
        <x:v>2026-07-17T00:00:00.000Z</x:v>
      </x:c>
      <x:c r="N411" s="8" t="str">
        <x:v>https://www.smallcase.com/smallcase/swing-trading-portfolio-STBANM_0002</x:v>
      </x:c>
      <x:c r="O411" s="4" t="str">
        <x:v>STBANM_0002</x:v>
      </x:c>
      <x:c r="P411" s="5" t="str">
        <x:v>Diversified; sector mandate not specified</x:v>
      </x:c>
    </x:row>
    <x:row r="412" ht="60" customHeight="1">
      <x:c r="A412" s="4" t="n">
        <x:v>413</x:v>
      </x:c>
      <x:c r="B412" s="5" t="str">
        <x:v>Strategic Diversified Mix Model</x:v>
      </x:c>
      <x:c r="C412" s="5" t="str">
        <x:v>StoxBazar</x:v>
      </x:c>
      <x:c r="D412" s="5" t="str">
        <x:v>Asset allocation / target date</x:v>
      </x:c>
      <x:c r="E412" s="5" t="str">
        <x:v>No specific industry mandate identified</x:v>
      </x:c>
      <x:c r="F412" s="5" t="str">
        <x:v>Asset allocation</x:v>
      </x:c>
      <x:c r="G412" s="6" t="n">
        <x:v>96951</x:v>
      </x:c>
      <x:c r="H412" s="4" t="str">
        <x:v>Medium</x:v>
      </x:c>
      <x:c r="I412" s="4" t="str">
        <x:v>Fee based</x:v>
      </x:c>
      <x:c r="J412" s="6" t="n">
        <x:v>583</x:v>
      </x:c>
      <x:c r="K412" s="5" t="str">
        <x:v>Basket of stocks to fit your investment goals. Stocks &amp; Asset allocation, based on deep research</x:v>
      </x:c>
      <x:c r="L412" s="5" t="str">
        <x:v>No sector tags assigned; see description</x:v>
      </x:c>
      <x:c r="M412" s="7" t="d">
        <x:v>2026-09-15T00:00:00.000Z</x:v>
      </x:c>
      <x:c r="N412" s="8" t="str">
        <x:v>https://www.smallcase.com/smallcase/model-portfolio-for-retailers-STBAMO_0005</x:v>
      </x:c>
      <x:c r="O412" s="4" t="str">
        <x:v>STBAMO_0005</x:v>
      </x:c>
      <x:c r="P412" s="5" t="str">
        <x:v>Asset allocation / target date</x:v>
      </x:c>
    </x:row>
    <x:row r="413" ht="60" customHeight="1">
      <x:c r="A413" s="4" t="n">
        <x:v>414</x:v>
      </x:c>
      <x:c r="B413" s="5" t="str">
        <x:v>Metal &amp; Power Tracker</x:v>
      </x:c>
      <x:c r="C413" s="5" t="str">
        <x:v>Agility Advisors</x:v>
      </x:c>
      <x:c r="D413" s="5" t="str">
        <x:v>Sector / industry theme</x:v>
      </x:c>
      <x:c r="E413" s="5" t="str">
        <x:v>Metals, mining &amp; minerals; Power, utilities &amp; energy</x:v>
      </x:c>
      <x:c r="F413" s="5" t="str">
        <x:v>Other / not specified</x:v>
      </x:c>
      <x:c r="G413" s="6" t="n">
        <x:v>111319</x:v>
      </x:c>
      <x:c r="H413" s="4" t="str">
        <x:v>High</x:v>
      </x:c>
      <x:c r="I413" s="4" t="str">
        <x:v>Fee based</x:v>
      </x:c>
      <x:c r="J413" s="6" t="n">
        <x:v>1770</x:v>
      </x:c>
      <x:c r="K413" s="5" t="str">
        <x:v>Theme-based portfolio investing in Metal Companies</x:v>
      </x:c>
      <x:c r="L413" s="5" t="str">
        <x:v>Title and listing description</x:v>
      </x:c>
      <x:c r="M413" s="7" t="d">
        <x:v>2026-10-23T00:00:00.000Z</x:v>
      </x:c>
      <x:c r="N413" s="8" t="str">
        <x:v>https://www.smallcase.com/smallcase/yj-metals-and-power-YEJNM_0007</x:v>
      </x:c>
      <x:c r="O413" s="4" t="str">
        <x:v>YEJNM_0007</x:v>
      </x:c>
      <x:c r="P413" s="5" t="str"/>
    </x:row>
    <x:row r="414" ht="60" customHeight="1">
      <x:c r="A414" s="4" t="n">
        <x:v>415</x:v>
      </x:c>
      <x:c r="B414" s="5" t="str">
        <x:v>Bharat Consumption Theme</x:v>
      </x:c>
      <x:c r="C414" s="5" t="str">
        <x:v>Quantace Research</x:v>
      </x:c>
      <x:c r="D414" s="5" t="str">
        <x:v>Sector / industry theme</x:v>
      </x:c>
      <x:c r="E414" s="5" t="str">
        <x:v>Consumer, FMCG &amp; durables</x:v>
      </x:c>
      <x:c r="F414" s="5" t="str">
        <x:v>Other / not specified</x:v>
      </x:c>
      <x:c r="G414" s="6" t="n">
        <x:v>70747</x:v>
      </x:c>
      <x:c r="H414" s="4" t="str">
        <x:v>High</x:v>
      </x:c>
      <x:c r="I414" s="4" t="str">
        <x:v>Fee based</x:v>
      </x:c>
      <x:c r="J414" s="6" t="n">
        <x:v>675</x:v>
      </x:c>
      <x:c r="K414" s="5" t="str">
        <x:v>Play the Urban and Rural Bharat consumption Theme.</x:v>
      </x:c>
      <x:c r="L414" s="5" t="str">
        <x:v>Title and listing description</x:v>
      </x:c>
      <x:c r="M414" s="7" t="d">
        <x:v>2026-10-26T00:00:00.000Z</x:v>
      </x:c>
      <x:c r="N414" s="8" t="str">
        <x:v>https://www.smallcase.com/smallcase/quantace-bharat-consumption-QURENM_0008</x:v>
      </x:c>
      <x:c r="O414" s="4" t="str">
        <x:v>QURENM_0008</x:v>
      </x:c>
      <x:c r="P414" s="5" t="str"/>
    </x:row>
    <x:row r="415" ht="60" customHeight="1">
      <x:c r="A415" s="4" t="n">
        <x:v>416</x:v>
      </x:c>
      <x:c r="B415" s="5" t="str">
        <x:v>CWA Manufacturing - China Plus One Theme</x:v>
      </x:c>
      <x:c r="C415" s="5" t="str">
        <x:v>Compounding Wealth Advisors</x:v>
      </x:c>
      <x:c r="D415" s="5" t="str">
        <x:v>Sector / industry theme</x:v>
      </x:c>
      <x:c r="E415" s="5" t="str">
        <x:v>Manufacturing &amp; industrials</x:v>
      </x:c>
      <x:c r="F415" s="5" t="str">
        <x:v>Other / not specified</x:v>
      </x:c>
      <x:c r="G415" s="6" t="n">
        <x:v>305515</x:v>
      </x:c>
      <x:c r="H415" s="4" t="str">
        <x:v>High</x:v>
      </x:c>
      <x:c r="I415" s="4" t="str">
        <x:v>Fee based</x:v>
      </x:c>
      <x:c r="J415" s="6" t="n">
        <x:v>983</x:v>
      </x:c>
      <x:c r="K415" s="5" t="str">
        <x:v>Systematic Investing in strong and leading stocks from the manufacturing sector.Rcmd Amt 5-15 Lacs.</x:v>
      </x:c>
      <x:c r="L415" s="5" t="str">
        <x:v>Title and listing description</x:v>
      </x:c>
      <x:c r="M415" s="7" t="d">
        <x:v>2026-10-26T00:00:00.000Z</x:v>
      </x:c>
      <x:c r="N415" s="8" t="str">
        <x:v>https://www.smallcase.com/smallcase/cwa-manufacturing-(china-plus-one)-COWANM_0001</x:v>
      </x:c>
      <x:c r="O415" s="4" t="str">
        <x:v>COWANM_0001</x:v>
      </x:c>
      <x:c r="P415" s="5" t="str"/>
    </x:row>
    <x:row r="416" ht="60" customHeight="1">
      <x:c r="A416" s="4" t="n">
        <x:v>417</x:v>
      </x:c>
      <x:c r="B416" s="5" t="str">
        <x:v>Lotusdew Buy and Hold Strategy Quality Model</x:v>
      </x:c>
      <x:c r="C416" s="5" t="str">
        <x:v>Lotusdew Wealth</x:v>
      </x:c>
      <x:c r="D416" s="5" t="str">
        <x:v>Diversified / strategy</x:v>
      </x:c>
      <x:c r="E416" s="5" t="str">
        <x:v>No specific industry mandate identified</x:v>
      </x:c>
      <x:c r="F416" s="5" t="str">
        <x:v>Fundamental / growth / quality</x:v>
      </x:c>
      <x:c r="G416" s="6" t="n">
        <x:v>168037</x:v>
      </x:c>
      <x:c r="H416" s="4" t="str">
        <x:v>High</x:v>
      </x:c>
      <x:c r="I416" s="4" t="str">
        <x:v>Fee based</x:v>
      </x:c>
      <x:c r="J416" s="6" t="n">
        <x:v>1248</x:v>
      </x:c>
      <x:c r="K416" s="5" t="str">
        <x:v>High quality smallcap companies for long term holding with typical holding period above 1 year.</x:v>
      </x:c>
      <x:c r="L416" s="5" t="str">
        <x:v>No sector tags assigned; see description</x:v>
      </x:c>
      <x:c r="M416" s="7"/>
      <x:c r="N416" s="8" t="str">
        <x:v>https://www.smallcase.com/smallcase/longterm-portfolio-LTDMO_0006</x:v>
      </x:c>
      <x:c r="O416" s="4" t="str">
        <x:v>LTDMO_0006</x:v>
      </x:c>
      <x:c r="P416" s="5" t="str">
        <x:v>Diversified; sector mandate not specified</x:v>
      </x:c>
    </x:row>
    <x:row r="417" ht="60" customHeight="1">
      <x:c r="A417" s="4" t="n">
        <x:v>418</x:v>
      </x:c>
      <x:c r="B417" s="5" t="str">
        <x:v>Pharma Select Tracker</x:v>
      </x:c>
      <x:c r="C417" s="5" t="str">
        <x:v>Green Portfolio</x:v>
      </x:c>
      <x:c r="D417" s="5" t="str">
        <x:v>Sector / industry theme</x:v>
      </x:c>
      <x:c r="E417" s="5" t="str">
        <x:v>Pharma &amp; healthcare</x:v>
      </x:c>
      <x:c r="F417" s="5" t="str">
        <x:v>Other / not specified</x:v>
      </x:c>
      <x:c r="G417" s="6" t="n">
        <x:v>27031</x:v>
      </x:c>
      <x:c r="H417" s="4" t="str">
        <x:v>High</x:v>
      </x:c>
      <x:c r="I417" s="4" t="str">
        <x:v>Fee based</x:v>
      </x:c>
      <x:c r="J417" s="6" t="n">
        <x:v>590</x:v>
      </x:c>
      <x:c r="K417" s="5" t="str">
        <x:v>Invest in India's booming pharma sector, where cost efficiency meets global export dominance.</x:v>
      </x:c>
      <x:c r="L417" s="5" t="str">
        <x:v>Title and listing description</x:v>
      </x:c>
      <x:c r="M417" s="7" t="d">
        <x:v>2026-09-02T00:00:00.000Z</x:v>
      </x:c>
      <x:c r="N417" s="8" t="str">
        <x:v>https://www.smallcase.com/smallcase/pharma-select-GPRNM_0012</x:v>
      </x:c>
      <x:c r="O417" s="4" t="str">
        <x:v>GPRNM_0012</x:v>
      </x:c>
      <x:c r="P417" s="5" t="str"/>
    </x:row>
    <x:row r="418" ht="60" customHeight="1">
      <x:c r="A418" s="4" t="n">
        <x:v>419</x:v>
      </x:c>
      <x:c r="B418" s="5" t="str">
        <x:v>Auto Advantage Tracker</x:v>
      </x:c>
      <x:c r="C418" s="5" t="str">
        <x:v>Green Portfolio</x:v>
      </x:c>
      <x:c r="D418" s="5" t="str">
        <x:v>Sector / industry theme</x:v>
      </x:c>
      <x:c r="E418" s="5" t="str">
        <x:v>Automobiles, EVs &amp; components</x:v>
      </x:c>
      <x:c r="F418" s="5" t="str">
        <x:v>Other / not specified</x:v>
      </x:c>
      <x:c r="G418" s="6" t="n">
        <x:v>52771</x:v>
      </x:c>
      <x:c r="H418" s="4" t="str">
        <x:v>High</x:v>
      </x:c>
      <x:c r="I418" s="4" t="str">
        <x:v>Fee based</x:v>
      </x:c>
      <x:c r="J418" s="6" t="n">
        <x:v>590</x:v>
      </x:c>
      <x:c r="K418" s="5" t="str">
        <x:v>Capturing India’s automotive boom through rising stars and key suppliers.</x:v>
      </x:c>
      <x:c r="L418" s="5" t="str">
        <x:v>Title and listing description</x:v>
      </x:c>
      <x:c r="M418" s="7" t="d">
        <x:v>2026-04-01T00:00:00.000Z</x:v>
      </x:c>
      <x:c r="N418" s="8" t="str">
        <x:v>https://www.smallcase.com/smallcase/auto-advantage-GPRNM_0013</x:v>
      </x:c>
      <x:c r="O418" s="4" t="str">
        <x:v>GPRNM_0013</x:v>
      </x:c>
      <x:c r="P418" s="5" t="str"/>
    </x:row>
    <x:row r="419" ht="60" customHeight="1">
      <x:c r="A419" s="4" t="n">
        <x:v>420</x:v>
      </x:c>
      <x:c r="B419" s="5" t="str">
        <x:v>CWA HFT - Healthcare, FMCG &amp; Technology Theme</x:v>
      </x:c>
      <x:c r="C419" s="5" t="str">
        <x:v>Compounding Wealth Advisors</x:v>
      </x:c>
      <x:c r="D419" s="5" t="str">
        <x:v>Sector / industry theme</x:v>
      </x:c>
      <x:c r="E419" s="5" t="str">
        <x:v>IT, software &amp; digital platforms; Pharma &amp; healthcare; Consumer, FMCG &amp; durables</x:v>
      </x:c>
      <x:c r="F419" s="5" t="str">
        <x:v>Other / not specified</x:v>
      </x:c>
      <x:c r="G419" s="6" t="n">
        <x:v>238935</x:v>
      </x:c>
      <x:c r="H419" s="4" t="str">
        <x:v>Medium</x:v>
      </x:c>
      <x:c r="I419" s="4" t="str">
        <x:v>Fee based</x:v>
      </x:c>
      <x:c r="J419" s="6" t="n">
        <x:v>983</x:v>
      </x:c>
      <x:c r="K419" s="5" t="str">
        <x:v>Systematic Investing in strong and leading stocks from the Healthcare ,Pharma , FMCG &amp; Tech sector.</x:v>
      </x:c>
      <x:c r="L419" s="5" t="str">
        <x:v>Title and listing description</x:v>
      </x:c>
      <x:c r="M419" s="7" t="d">
        <x:v>2026-10-26T00:00:00.000Z</x:v>
      </x:c>
      <x:c r="N419" s="8" t="str">
        <x:v>https://www.smallcase.com/smallcase/cwa-hft-(-healthcare-pharma-fmcg-and-technology)-COWANM_0004</x:v>
      </x:c>
      <x:c r="O419" s="4" t="str">
        <x:v>COWANM_0004</x:v>
      </x:c>
      <x:c r="P419" s="5" t="str"/>
    </x:row>
    <x:row r="420" ht="60" customHeight="1">
      <x:c r="A420" s="4" t="n">
        <x:v>421</x:v>
      </x:c>
      <x:c r="B420" s="5" t="str">
        <x:v>Satellite Model</x:v>
      </x:c>
      <x:c r="C420" s="5" t="str">
        <x:v>Paterson</x:v>
      </x:c>
      <x:c r="D420" s="5" t="str">
        <x:v>Diversified / strategy</x:v>
      </x:c>
      <x:c r="E420" s="5" t="str">
        <x:v>No specific industry mandate identified</x:v>
      </x:c>
      <x:c r="F420" s="5" t="str">
        <x:v>Other / not specified</x:v>
      </x:c>
      <x:c r="G420" s="6" t="n">
        <x:v>100000</x:v>
      </x:c>
      <x:c r="H420" s="4" t="str">
        <x:v>High</x:v>
      </x:c>
      <x:c r="I420" s="4" t="str">
        <x:v>Fee based</x:v>
      </x:c>
      <x:c r="J420" s="6" t="n">
        <x:v>937</x:v>
      </x:c>
      <x:c r="K420" s="5" t="str">
        <x:v>4-6 positional trades based on technical analysis.</x:v>
      </x:c>
      <x:c r="L420" s="5" t="str">
        <x:v>No sector tags assigned; see description</x:v>
      </x:c>
      <x:c r="M420" s="7" t="d">
        <x:v>2026-09-09T00:00:00.000Z</x:v>
      </x:c>
      <x:c r="N420" s="8" t="str">
        <x:v>https://www.smallcase.com/smallcase/satellite-RUPEMO_0003</x:v>
      </x:c>
      <x:c r="O420" s="4" t="str">
        <x:v>RUPEMO_0003</x:v>
      </x:c>
      <x:c r="P420" s="5" t="str">
        <x:v>Diversified; sector mandate not specified</x:v>
      </x:c>
    </x:row>
    <x:row r="421" ht="60" customHeight="1">
      <x:c r="A421" s="4" t="n">
        <x:v>422</x:v>
      </x:c>
      <x:c r="B421" s="5" t="str">
        <x:v>GI Bharat NextGen Theme</x:v>
      </x:c>
      <x:c r="C421" s="5" t="str">
        <x:v>Growth Investing</x:v>
      </x:c>
      <x:c r="D421" s="5" t="str">
        <x:v>Diversified / strategy</x:v>
      </x:c>
      <x:c r="E421" s="5" t="str">
        <x:v>No specific industry mandate identified</x:v>
      </x:c>
      <x:c r="F421" s="5" t="str">
        <x:v>Other / not specified</x:v>
      </x:c>
      <x:c r="G421" s="6" t="n">
        <x:v>2878</x:v>
      </x:c>
      <x:c r="H421" s="4" t="str">
        <x:v>High</x:v>
      </x:c>
      <x:c r="I421" s="4" t="str">
        <x:v>Fee based</x:v>
      </x:c>
      <x:c r="J421" s="6" t="n">
        <x:v>629</x:v>
      </x:c>
      <x:c r="K421" s="5" t="str">
        <x:v>Young Indian Companies with Global Aspiration.</x:v>
      </x:c>
      <x:c r="L421" s="5" t="str">
        <x:v>No sector tags assigned; see description</x:v>
      </x:c>
      <x:c r="M421" s="7" t="d">
        <x:v>2026-09-29T00:00:00.000Z</x:v>
      </x:c>
      <x:c r="N421" s="8" t="str">
        <x:v>https://www.smallcase.com/smallcase/gi-bharat-nextgen-GRINMO_0040</x:v>
      </x:c>
      <x:c r="O421" s="4" t="str">
        <x:v>GRINMO_0040</x:v>
      </x:c>
      <x:c r="P421" s="5" t="str">
        <x:v>Innovation / emerging business themes</x:v>
      </x:c>
    </x:row>
    <x:row r="422" ht="60" customHeight="1">
      <x:c r="A422" s="4" t="n">
        <x:v>423</x:v>
      </x:c>
      <x:c r="B422" s="5" t="str">
        <x:v>Intrinsic Value Large Pool Fundamental</x:v>
      </x:c>
      <x:c r="C422" s="5" t="str">
        <x:v>Intrinsic Value</x:v>
      </x:c>
      <x:c r="D422" s="5" t="str">
        <x:v>Diversified / strategy</x:v>
      </x:c>
      <x:c r="E422" s="5" t="str">
        <x:v>No specific industry mandate identified</x:v>
      </x:c>
      <x:c r="F422" s="5" t="str">
        <x:v>Value / contrarian</x:v>
      </x:c>
      <x:c r="G422" s="6" t="n">
        <x:v>13248</x:v>
      </x:c>
      <x:c r="H422" s="4" t="str">
        <x:v>High</x:v>
      </x:c>
      <x:c r="I422" s="4" t="str">
        <x:v>Fee based</x:v>
      </x:c>
      <x:c r="J422" s="6" t="n">
        <x:v>580</x:v>
      </x:c>
      <x:c r="K422" s="5" t="str">
        <x:v>Pool of 5 Large companies which has the potential to beat Nifty smallcap in next 2-5 years</x:v>
      </x:c>
      <x:c r="L422" s="5" t="str">
        <x:v>No sector tags assigned; see description</x:v>
      </x:c>
      <x:c r="M422" s="7" t="d">
        <x:v>2026-10-26T00:00:00.000Z</x:v>
      </x:c>
      <x:c r="N422" s="8" t="str">
        <x:v>https://www.smallcase.com/smallcase/large-INTRTR_0001</x:v>
      </x:c>
      <x:c r="O422" s="4" t="str">
        <x:v>INTRTR_0001</x:v>
      </x:c>
      <x:c r="P422" s="5" t="str">
        <x:v>Diversified; sector mandate not specified</x:v>
      </x:c>
    </x:row>
    <x:row r="423" ht="60" customHeight="1">
      <x:c r="A423" s="4" t="n">
        <x:v>424</x:v>
      </x:c>
      <x:c r="B423" s="5" t="str">
        <x:v>Intrinsic Value Muhurat 2024 Target Date</x:v>
      </x:c>
      <x:c r="C423" s="5" t="str">
        <x:v>Intrinsic Value</x:v>
      </x:c>
      <x:c r="D423" s="5" t="str">
        <x:v>Asset allocation / target date</x:v>
      </x:c>
      <x:c r="E423" s="5" t="str">
        <x:v>No specific industry mandate identified</x:v>
      </x:c>
      <x:c r="F423" s="5" t="str">
        <x:v>Asset allocation</x:v>
      </x:c>
      <x:c r="G423" s="6" t="n">
        <x:v>13998</x:v>
      </x:c>
      <x:c r="H423" s="4" t="str">
        <x:v>High</x:v>
      </x:c>
      <x:c r="I423" s="4" t="str">
        <x:v>Fee based</x:v>
      </x:c>
      <x:c r="J423" s="6" t="n">
        <x:v>580</x:v>
      </x:c>
      <x:c r="K423" s="5" t="str">
        <x:v>Diwali Muhurat opportunities 2024 Holding period- 2 Diwali</x:v>
      </x:c>
      <x:c r="L423" s="5" t="str">
        <x:v>No sector tags assigned; see description</x:v>
      </x:c>
      <x:c r="M423" s="7" t="d">
        <x:v>2026-10-26T00:00:00.000Z</x:v>
      </x:c>
      <x:c r="N423" s="8" t="str">
        <x:v>https://www.smallcase.com/smallcase/intrinsic-value-muhurat-2024-INTRMO_0004</x:v>
      </x:c>
      <x:c r="O423" s="4" t="str">
        <x:v>INTRMO_0004</x:v>
      </x:c>
      <x:c r="P423" s="5" t="str">
        <x:v>Asset allocation / target date</x:v>
      </x:c>
    </x:row>
    <x:row r="424" ht="60" customHeight="1">
      <x:c r="A424" s="4" t="n">
        <x:v>425</x:v>
      </x:c>
      <x:c r="B424" s="5" t="str">
        <x:v>EquiSecure Theme</x:v>
      </x:c>
      <x:c r="C424" s="5" t="str">
        <x:v>Equivision Consulting</x:v>
      </x:c>
      <x:c r="D424" s="5" t="str">
        <x:v>Sector / industry theme</x:v>
      </x:c>
      <x:c r="E424" s="5" t="str">
        <x:v>AI, data centres &amp; digital infrastructure; Manufacturing &amp; industrials; Banks &amp; NBFCs; Automobiles, EVs &amp; components; Chemicals</x:v>
      </x:c>
      <x:c r="F424" s="5" t="str">
        <x:v>Other / not specified</x:v>
      </x:c>
      <x:c r="G424" s="6" t="n">
        <x:v>209375</x:v>
      </x:c>
      <x:c r="H424" s="4" t="str">
        <x:v>High</x:v>
      </x:c>
      <x:c r="I424" s="4" t="str">
        <x:v>Fee based</x:v>
      </x:c>
      <x:c r="J424" s="6" t="n">
        <x:v>786</x:v>
      </x:c>
      <x:c r="K424" s="5" t="str">
        <x:v>20-30 Stocks: Trending Themes - AI, Microfinance, CV, Auto Ancillaries, Precision Engr &amp; Chemical</x:v>
      </x:c>
      <x:c r="L424" s="5" t="str">
        <x:v>Title and listing description</x:v>
      </x:c>
      <x:c r="M424" s="7" t="d">
        <x:v>2026-09-30T00:00:00.000Z</x:v>
      </x:c>
      <x:c r="N424" s="8" t="str">
        <x:v>https://www.smallcase.com/smallcase/equisecure-EREQMO_0005</x:v>
      </x:c>
      <x:c r="O424" s="4" t="str">
        <x:v>EREQMO_0005</x:v>
      </x:c>
      <x:c r="P424" s="5" t="str"/>
    </x:row>
    <x:row r="425" ht="60" customHeight="1">
      <x:c r="A425" s="4" t="n">
        <x:v>426</x:v>
      </x:c>
      <x:c r="B425" s="5" t="str">
        <x:v>ANANTA STAYVAN Model</x:v>
      </x:c>
      <x:c r="C425" s="5" t="str">
        <x:v>Stayvan</x:v>
      </x:c>
      <x:c r="D425" s="5" t="str">
        <x:v>Diversified / strategy</x:v>
      </x:c>
      <x:c r="E425" s="5" t="str">
        <x:v>No specific industry mandate identified</x:v>
      </x:c>
      <x:c r="F425" s="5" t="str">
        <x:v>Momentum / trend</x:v>
      </x:c>
      <x:c r="G425" s="6" t="n">
        <x:v>81366</x:v>
      </x:c>
      <x:c r="H425" s="4" t="str">
        <x:v>High</x:v>
      </x:c>
      <x:c r="I425" s="4" t="str">
        <x:v>Fee based</x:v>
      </x:c>
      <x:c r="J425" s="6" t="n">
        <x:v>499</x:v>
      </x:c>
      <x:c r="K425" s="5" t="str">
        <x:v>Stock price = All Momentum driven Growth stocks outperforming the NIFTY on quarterly basis.</x:v>
      </x:c>
      <x:c r="L425" s="5" t="str">
        <x:v>No sector tags assigned; see description</x:v>
      </x:c>
      <x:c r="M425" s="7" t="d">
        <x:v>2026-08-11T00:00:00.000Z</x:v>
      </x:c>
      <x:c r="N425" s="8" t="str">
        <x:v>https://www.smallcase.com/smallcase/mahurat-2024-stayvan-SYVMO_0010</x:v>
      </x:c>
      <x:c r="O425" s="4" t="str">
        <x:v>SYVMO_0010</x:v>
      </x:c>
      <x:c r="P425" s="5" t="str">
        <x:v>Diversified; sector mandate not specified</x:v>
      </x:c>
    </x:row>
    <x:row r="426" ht="60" customHeight="1">
      <x:c r="A426" s="4" t="n">
        <x:v>427</x:v>
      </x:c>
      <x:c r="B426" s="5" t="str">
        <x:v>Titan Trilogy Model</x:v>
      </x:c>
      <x:c r="C426" s="5" t="str">
        <x:v>Samar Wealth</x:v>
      </x:c>
      <x:c r="D426" s="5" t="str">
        <x:v>Diversified / strategy</x:v>
      </x:c>
      <x:c r="E426" s="5" t="str">
        <x:v>No specific industry mandate identified</x:v>
      </x:c>
      <x:c r="F426" s="5" t="str">
        <x:v>Value / contrarian</x:v>
      </x:c>
      <x:c r="G426" s="6" t="n">
        <x:v>100204</x:v>
      </x:c>
      <x:c r="H426" s="4" t="str">
        <x:v>High</x:v>
      </x:c>
      <x:c r="I426" s="4" t="str">
        <x:v>Fee based</x:v>
      </x:c>
      <x:c r="J426" s="6" t="n">
        <x:v>1179</x:v>
      </x:c>
      <x:c r="K426" s="5" t="str">
        <x:v>Designed to leverage the three core pillars of Investing: Growth, Value &amp; Trend (Industry &amp; Price)</x:v>
      </x:c>
      <x:c r="L426" s="5" t="str">
        <x:v>No sector tags assigned; see description</x:v>
      </x:c>
      <x:c r="M426" s="7" t="d">
        <x:v>2026-06-01T00:00:00.000Z</x:v>
      </x:c>
      <x:c r="N426" s="8" t="str">
        <x:v>https://www.smallcase.com/smallcase/growth-trilogy-SAWEMO_0002</x:v>
      </x:c>
      <x:c r="O426" s="4" t="str">
        <x:v>SAWEMO_0002</x:v>
      </x:c>
      <x:c r="P426" s="5" t="str">
        <x:v>Diversified; sector mandate not specified</x:v>
      </x:c>
    </x:row>
    <x:row r="427" ht="60" customHeight="1">
      <x:c r="A427" s="4" t="n">
        <x:v>428</x:v>
      </x:c>
      <x:c r="B427" s="5" t="str">
        <x:v>MMG Focused Multicap smallcase Model</x:v>
      </x:c>
      <x:c r="C427" s="5" t="str">
        <x:v>My Money Guru</x:v>
      </x:c>
      <x:c r="D427" s="5" t="str">
        <x:v>Diversified / strategy</x:v>
      </x:c>
      <x:c r="E427" s="5" t="str">
        <x:v>No specific industry mandate identified</x:v>
      </x:c>
      <x:c r="F427" s="5" t="str">
        <x:v>Fundamental / growth / quality</x:v>
      </x:c>
      <x:c r="G427" s="6" t="n">
        <x:v>100006</x:v>
      </x:c>
      <x:c r="H427" s="4" t="str">
        <x:v>High</x:v>
      </x:c>
      <x:c r="I427" s="4" t="str">
        <x:v>Fee based</x:v>
      </x:c>
      <x:c r="J427" s="6" t="n">
        <x:v>2100</x:v>
      </x:c>
      <x:c r="K427" s="5" t="str">
        <x:v>Diversified Multi-Cap Portfolio of High-Growth, High-Conviction Ideas</x:v>
      </x:c>
      <x:c r="L427" s="5" t="str">
        <x:v>No sector tags assigned; see description</x:v>
      </x:c>
      <x:c r="M427" s="7" t="d">
        <x:v>2026-09-29T00:00:00.000Z</x:v>
      </x:c>
      <x:c r="N427" s="8" t="str">
        <x:v>https://www.smallcase.com/smallcase/mmg-psu-stocks-smallcase-MYMOTR_0001</x:v>
      </x:c>
      <x:c r="O427" s="4" t="str">
        <x:v>MYMOTR_0001</x:v>
      </x:c>
      <x:c r="P427" s="5" t="str">
        <x:v>Diversified; sector mandate not specified</x:v>
      </x:c>
    </x:row>
    <x:row r="428" ht="60" customHeight="1">
      <x:c r="A428" s="4" t="n">
        <x:v>429</x:v>
      </x:c>
      <x:c r="B428" s="5" t="str">
        <x:v>MMG Quants Edge smallcase Quant</x:v>
      </x:c>
      <x:c r="C428" s="5" t="str">
        <x:v>My Money Guru</x:v>
      </x:c>
      <x:c r="D428" s="5" t="str">
        <x:v>Diversified / strategy</x:v>
      </x:c>
      <x:c r="E428" s="5" t="str">
        <x:v>No specific industry mandate identified</x:v>
      </x:c>
      <x:c r="F428" s="5" t="str">
        <x:v>Momentum / trend</x:v>
      </x:c>
      <x:c r="G428" s="6" t="n">
        <x:v>485367</x:v>
      </x:c>
      <x:c r="H428" s="4" t="str">
        <x:v>High</x:v>
      </x:c>
      <x:c r="I428" s="4" t="str">
        <x:v>Fee based</x:v>
      </x:c>
      <x:c r="J428" s="6" t="n">
        <x:v>1200</x:v>
      </x:c>
      <x:c r="K428" s="5" t="str">
        <x:v>Curated Quant Portfolio | Momentum-Driven | Diversified | Systematic Edge for Consistent Gains</x:v>
      </x:c>
      <x:c r="L428" s="5" t="str">
        <x:v>No sector tags assigned; see description</x:v>
      </x:c>
      <x:c r="M428" s="7" t="d">
        <x:v>2026-08-11T00:00:00.000Z</x:v>
      </x:c>
      <x:c r="N428" s="8" t="str">
        <x:v>https://www.smallcase.com/smallcase/mmg-fando-stocks-smallcase-MYMONM_0004</x:v>
      </x:c>
      <x:c r="O428" s="4" t="str">
        <x:v>MYMONM_0004</x:v>
      </x:c>
      <x:c r="P428" s="5" t="str">
        <x:v>Diversified; sector mandate not specified</x:v>
      </x:c>
    </x:row>
    <x:row r="429" ht="60" customHeight="1">
      <x:c r="A429" s="4" t="n">
        <x:v>430</x:v>
      </x:c>
      <x:c r="B429" s="5" t="str">
        <x:v>Aspire Diversified Factors Portfolio Quant</x:v>
      </x:c>
      <x:c r="C429" s="5" t="str">
        <x:v>SmartWealth.ai</x:v>
      </x:c>
      <x:c r="D429" s="5" t="str">
        <x:v>Diversified / strategy</x:v>
      </x:c>
      <x:c r="E429" s="5" t="str">
        <x:v>No specific industry mandate identified</x:v>
      </x:c>
      <x:c r="F429" s="5" t="str">
        <x:v>Quant / factor</x:v>
      </x:c>
      <x:c r="G429" s="6" t="n">
        <x:v>3469</x:v>
      </x:c>
      <x:c r="H429" s="4" t="str">
        <x:v>High</x:v>
      </x:c>
      <x:c r="I429" s="4" t="str">
        <x:v>Fee based</x:v>
      </x:c>
      <x:c r="J429" s="6" t="n">
        <x:v>737</x:v>
      </x:c>
      <x:c r="K429" s="5" t="str">
        <x:v>Dynamic Alpha &amp; Low-Volatility ETF Hybrid – Invest Up to ₹10 Lacs</x:v>
      </x:c>
      <x:c r="L429" s="5" t="str">
        <x:v>No sector tags assigned; see description</x:v>
      </x:c>
      <x:c r="M429" s="7" t="d">
        <x:v>2026-10-22T00:00:00.000Z</x:v>
      </x:c>
      <x:c r="N429" s="8" t="str">
        <x:v>https://www.smallcase.com/smallcase/aspire-diversified-factors-portfolio-SMWAET_0002</x:v>
      </x:c>
      <x:c r="O429" s="4" t="str">
        <x:v>SMWAET_0002</x:v>
      </x:c>
      <x:c r="P429" s="5" t="str">
        <x:v>Diversified; sector mandate not specified</x:v>
      </x:c>
    </x:row>
    <x:row r="430" ht="60" customHeight="1">
      <x:c r="A430" s="4" t="n">
        <x:v>431</x:v>
      </x:c>
      <x:c r="B430" s="5" t="str">
        <x:v>H2 GROWTH LEGENDS Size Model</x:v>
      </x:c>
      <x:c r="C430" s="5" t="str">
        <x:v>H2 INVESTMENT MANAGERS</x:v>
      </x:c>
      <x:c r="D430" s="5" t="str">
        <x:v>Diversified / strategy</x:v>
      </x:c>
      <x:c r="E430" s="5" t="str">
        <x:v>No specific industry mandate identified</x:v>
      </x:c>
      <x:c r="F430" s="5" t="str">
        <x:v>Fundamental / growth / quality</x:v>
      </x:c>
      <x:c r="G430" s="6" t="n">
        <x:v>12635</x:v>
      </x:c>
      <x:c r="H430" s="4" t="str">
        <x:v>High</x:v>
      </x:c>
      <x:c r="I430" s="4" t="str">
        <x:v>Fee based</x:v>
      </x:c>
      <x:c r="J430" s="6" t="n">
        <x:v>983</x:v>
      </x:c>
      <x:c r="K430" s="5" t="str">
        <x:v>Intended to knock into the Vibrant and Potential High growth Stocks | Good for HNIs</x:v>
      </x:c>
      <x:c r="L430" s="5" t="str">
        <x:v>No sector tags assigned; see description</x:v>
      </x:c>
      <x:c r="M430" s="7" t="d">
        <x:v>2026-10-21T00:00:00.000Z</x:v>
      </x:c>
      <x:c r="N430" s="8" t="str">
        <x:v>https://www.smallcase.com/smallcase/h2-growth-legends-HINMMO_0004</x:v>
      </x:c>
      <x:c r="O430" s="4" t="str">
        <x:v>HINMMO_0004</x:v>
      </x:c>
      <x:c r="P430" s="5" t="str">
        <x:v>Diversified; sector mandate not specified</x:v>
      </x:c>
    </x:row>
    <x:row r="431" ht="60" customHeight="1">
      <x:c r="A431" s="4" t="n">
        <x:v>432</x:v>
      </x:c>
      <x:c r="B431" s="5" t="str">
        <x:v>Gulaq Smallcap Quant</x:v>
      </x:c>
      <x:c r="C431" s="5" t="str">
        <x:v>Estee</x:v>
      </x:c>
      <x:c r="D431" s="5" t="str">
        <x:v>Diversified / strategy</x:v>
      </x:c>
      <x:c r="E431" s="5" t="str">
        <x:v>No specific industry mandate identified</x:v>
      </x:c>
      <x:c r="F431" s="5" t="str">
        <x:v>Quant / factor</x:v>
      </x:c>
      <x:c r="G431" s="6" t="n">
        <x:v>100000</x:v>
      </x:c>
      <x:c r="H431" s="4" t="str">
        <x:v>High</x:v>
      </x:c>
      <x:c r="I431" s="4" t="str">
        <x:v>Fee based</x:v>
      </x:c>
      <x:c r="J431" s="6" t="n">
        <x:v>491</x:v>
      </x:c>
      <x:c r="K431" s="5" t="str">
        <x:v>A concentrated portfolio of 15-20 high-growth small-cap stocks.</x:v>
      </x:c>
      <x:c r="L431" s="5" t="str">
        <x:v>No sector tags assigned; see description</x:v>
      </x:c>
      <x:c r="M431" s="7" t="d">
        <x:v>2026-09-29T00:00:00.000Z</x:v>
      </x:c>
      <x:c r="N431" s="8" t="str">
        <x:v>https://www.smallcase.com/smallcase/gulaq-smallcap-ESTNM_0001</x:v>
      </x:c>
      <x:c r="O431" s="4" t="str">
        <x:v>ESTNM_0001</x:v>
      </x:c>
      <x:c r="P431" s="5" t="str">
        <x:v>Diversified; sector mandate not specified</x:v>
      </x:c>
    </x:row>
    <x:row r="432" ht="60" customHeight="1">
      <x:c r="A432" s="4" t="n">
        <x:v>433</x:v>
      </x:c>
      <x:c r="B432" s="5" t="str">
        <x:v>Gulaq Midcap Quant</x:v>
      </x:c>
      <x:c r="C432" s="5" t="str">
        <x:v>Estee</x:v>
      </x:c>
      <x:c r="D432" s="5" t="str">
        <x:v>Diversified / strategy</x:v>
      </x:c>
      <x:c r="E432" s="5" t="str">
        <x:v>No specific industry mandate identified</x:v>
      </x:c>
      <x:c r="F432" s="5" t="str">
        <x:v>Quant / factor</x:v>
      </x:c>
      <x:c r="G432" s="6" t="n">
        <x:v>100000</x:v>
      </x:c>
      <x:c r="H432" s="4" t="str">
        <x:v>High</x:v>
      </x:c>
      <x:c r="I432" s="4" t="str">
        <x:v>Fee based</x:v>
      </x:c>
      <x:c r="J432" s="6" t="n">
        <x:v>491</x:v>
      </x:c>
      <x:c r="K432" s="5" t="str">
        <x:v>A concentrated portfolio of 15-20 high-growth mid-cap stocks.</x:v>
      </x:c>
      <x:c r="L432" s="5" t="str">
        <x:v>No sector tags assigned; see description</x:v>
      </x:c>
      <x:c r="M432" s="7" t="d">
        <x:v>2026-09-29T00:00:00.000Z</x:v>
      </x:c>
      <x:c r="N432" s="8" t="str">
        <x:v>https://www.smallcase.com/smallcase/gulaq-midcap-ESTNM_0002</x:v>
      </x:c>
      <x:c r="O432" s="4" t="str">
        <x:v>ESTNM_0002</x:v>
      </x:c>
      <x:c r="P432" s="5" t="str">
        <x:v>Diversified; sector mandate not specified</x:v>
      </x:c>
    </x:row>
    <x:row r="433" ht="60" customHeight="1">
      <x:c r="A433" s="4" t="n">
        <x:v>434</x:v>
      </x:c>
      <x:c r="B433" s="5" t="str">
        <x:v>Gulaq Largecap Quant</x:v>
      </x:c>
      <x:c r="C433" s="5" t="str">
        <x:v>Estee</x:v>
      </x:c>
      <x:c r="D433" s="5" t="str">
        <x:v>Diversified / strategy</x:v>
      </x:c>
      <x:c r="E433" s="5" t="str">
        <x:v>No specific industry mandate identified</x:v>
      </x:c>
      <x:c r="F433" s="5" t="str">
        <x:v>Quant / factor</x:v>
      </x:c>
      <x:c r="G433" s="6" t="n">
        <x:v>100000</x:v>
      </x:c>
      <x:c r="H433" s="4" t="str">
        <x:v>Medium</x:v>
      </x:c>
      <x:c r="I433" s="4" t="str">
        <x:v>Fee based</x:v>
      </x:c>
      <x:c r="J433" s="6" t="n">
        <x:v>491</x:v>
      </x:c>
      <x:c r="K433" s="5" t="str">
        <x:v>A concentrated portfolio of 15-20 high-growth large-cap stocks.</x:v>
      </x:c>
      <x:c r="L433" s="5" t="str">
        <x:v>No sector tags assigned; see description</x:v>
      </x:c>
      <x:c r="M433" s="7" t="d">
        <x:v>2026-09-29T00:00:00.000Z</x:v>
      </x:c>
      <x:c r="N433" s="8" t="str">
        <x:v>https://www.smallcase.com/smallcase/gulaq-largecap-ESTNM_0003</x:v>
      </x:c>
      <x:c r="O433" s="4" t="str">
        <x:v>ESTNM_0003</x:v>
      </x:c>
      <x:c r="P433" s="5" t="str">
        <x:v>Diversified; sector mandate not specified</x:v>
      </x:c>
    </x:row>
    <x:row r="434" ht="60" customHeight="1">
      <x:c r="A434" s="4" t="n">
        <x:v>435</x:v>
      </x:c>
      <x:c r="B434" s="5" t="str">
        <x:v>SR New Agr-Tech Theme</x:v>
      </x:c>
      <x:c r="C434" s="5" t="str">
        <x:v>SR WEALTH ELITE</x:v>
      </x:c>
      <x:c r="D434" s="5" t="str">
        <x:v>Sector / industry theme</x:v>
      </x:c>
      <x:c r="E434" s="5" t="str">
        <x:v>AI, data centres &amp; digital infrastructure; Electronics &amp; semiconductors; IT, software &amp; digital platforms</x:v>
      </x:c>
      <x:c r="F434" s="5" t="str">
        <x:v>Fundamental / growth / quality</x:v>
      </x:c>
      <x:c r="G434" s="6" t="n">
        <x:v>51405</x:v>
      </x:c>
      <x:c r="H434" s="4" t="str">
        <x:v>High</x:v>
      </x:c>
      <x:c r="I434" s="4" t="str">
        <x:v>Fee based</x:v>
      </x:c>
      <x:c r="J434" s="6" t="n">
        <x:v>1180</x:v>
      </x:c>
      <x:c r="K434" s="5" t="str">
        <x:v>Focus on innovative and high-growth areas like AI, Data Centre, Semi conductor, IOT, Blockchain etc.</x:v>
      </x:c>
      <x:c r="L434" s="5" t="str">
        <x:v>Title and listing description</x:v>
      </x:c>
      <x:c r="M434" s="7" t="d">
        <x:v>2026-10-27T00:00:00.000Z</x:v>
      </x:c>
      <x:c r="N434" s="8" t="str">
        <x:v>https://www.smallcase.com/smallcase/sr-new-age-tech-LOSENM_0004</x:v>
      </x:c>
      <x:c r="O434" s="4" t="str">
        <x:v>LOSENM_0004</x:v>
      </x:c>
      <x:c r="P434" s="5" t="str"/>
    </x:row>
    <x:row r="435" ht="60" customHeight="1">
      <x:c r="A435" s="4" t="n">
        <x:v>436</x:v>
      </x:c>
      <x:c r="B435" s="5" t="str">
        <x:v>Cyclical Opportunities Theme</x:v>
      </x:c>
      <x:c r="C435" s="5" t="str">
        <x:v>WealthTrust Capital Services</x:v>
      </x:c>
      <x:c r="D435" s="5" t="str">
        <x:v>Diversified / strategy</x:v>
      </x:c>
      <x:c r="E435" s="5" t="str">
        <x:v>No specific industry mandate identified</x:v>
      </x:c>
      <x:c r="F435" s="5" t="str">
        <x:v>Other / not specified</x:v>
      </x:c>
      <x:c r="G435" s="6" t="n">
        <x:v>48917</x:v>
      </x:c>
      <x:c r="H435" s="4" t="str">
        <x:v>High</x:v>
      </x:c>
      <x:c r="I435" s="4" t="str">
        <x:v>Fee based</x:v>
      </x:c>
      <x:c r="J435" s="6" t="n">
        <x:v>835</x:v>
      </x:c>
      <x:c r="K435" s="5" t="str">
        <x:v>Identifying and acquiring stocks during a down cycle at attractive valuations.</x:v>
      </x:c>
      <x:c r="L435" s="5" t="str">
        <x:v>No sector tags assigned; see description</x:v>
      </x:c>
      <x:c r="M435" s="7" t="d">
        <x:v>2026-09-08T00:00:00.000Z</x:v>
      </x:c>
      <x:c r="N435" s="8" t="str">
        <x:v>https://www.smallcase.com/smallcase/business-cycle-WETRMO_0008</x:v>
      </x:c>
      <x:c r="O435" s="4" t="str">
        <x:v>WETRMO_0008</x:v>
      </x:c>
      <x:c r="P435" s="5" t="str">
        <x:v>Commodities / cyclicals</x:v>
      </x:c>
    </x:row>
    <x:row r="436" ht="60" customHeight="1">
      <x:c r="A436" s="4" t="n">
        <x:v>437</x:v>
      </x:c>
      <x:c r="B436" s="5" t="str">
        <x:v>Stockwiz India 2040 Vision Fund Fundamental</x:v>
      </x:c>
      <x:c r="C436" s="5" t="str">
        <x:v>STOCKWIZ TECHNOLOGIES LLP</x:v>
      </x:c>
      <x:c r="D436" s="5" t="str">
        <x:v>Diversified / strategy</x:v>
      </x:c>
      <x:c r="E436" s="5" t="str">
        <x:v>No specific industry mandate identified</x:v>
      </x:c>
      <x:c r="F436" s="5" t="str">
        <x:v>Fundamental / growth / quality</x:v>
      </x:c>
      <x:c r="G436" s="6" t="n">
        <x:v>17620</x:v>
      </x:c>
      <x:c r="H436" s="4" t="str">
        <x:v>High</x:v>
      </x:c>
      <x:c r="I436" s="4" t="str">
        <x:v>Fee based</x:v>
      </x:c>
      <x:c r="J436" s="6" t="n">
        <x:v>1415</x:v>
      </x:c>
      <x:c r="K436" s="5" t="str">
        <x:v>Portfolio of curated high growth companies set to be the key players in the India Growth Story!</x:v>
      </x:c>
      <x:c r="L436" s="5" t="str">
        <x:v>No sector tags assigned; see description</x:v>
      </x:c>
      <x:c r="M436" s="7" t="d">
        <x:v>2026-01-29T00:00:00.000Z</x:v>
      </x:c>
      <x:c r="N436" s="8" t="str">
        <x:v>https://www.smallcase.com/smallcase/stockwiz-india-2040-vision-fund-model-SWTEMX_0002</x:v>
      </x:c>
      <x:c r="O436" s="4" t="str">
        <x:v>SWTEMX_0002</x:v>
      </x:c>
      <x:c r="P436" s="5" t="str">
        <x:v>Diversified; sector mandate not specified</x:v>
      </x:c>
    </x:row>
    <x:row r="437" ht="60" customHeight="1">
      <x:c r="A437" s="4" t="n">
        <x:v>438</x:v>
      </x:c>
      <x:c r="B437" s="5" t="str">
        <x:v>Strength 10X Momentum Model</x:v>
      </x:c>
      <x:c r="C437" s="5" t="str">
        <x:v>FINPIRE Capital Research</x:v>
      </x:c>
      <x:c r="D437" s="5" t="str">
        <x:v>Diversified / strategy</x:v>
      </x:c>
      <x:c r="E437" s="5" t="str">
        <x:v>No specific industry mandate identified</x:v>
      </x:c>
      <x:c r="F437" s="5" t="str">
        <x:v>Momentum / trend</x:v>
      </x:c>
      <x:c r="G437" s="6" t="n">
        <x:v>50000</x:v>
      </x:c>
      <x:c r="H437" s="4" t="str">
        <x:v>High</x:v>
      </x:c>
      <x:c r="I437" s="4" t="str">
        <x:v>Fee based</x:v>
      </x:c>
      <x:c r="J437" s="6" t="n">
        <x:v>1278</x:v>
      </x:c>
      <x:c r="K437" s="5" t="str">
        <x:v>Strength 10X is a quant momentum portfolio of maximum 10 high-growth stocks, equally weighted.</x:v>
      </x:c>
      <x:c r="L437" s="5" t="str">
        <x:v>No sector tags assigned; see description</x:v>
      </x:c>
      <x:c r="M437" s="7" t="d">
        <x:v>2026-06-17T00:00:00.000Z</x:v>
      </x:c>
      <x:c r="N437" s="8" t="str">
        <x:v>https://www.smallcase.com/smallcase/strength-10x-quant-FIINQM_0001</x:v>
      </x:c>
      <x:c r="O437" s="4" t="str">
        <x:v>FIINQM_0001</x:v>
      </x:c>
      <x:c r="P437" s="5" t="str">
        <x:v>Diversified; sector mandate not specified</x:v>
      </x:c>
    </x:row>
    <x:row r="438" ht="60" customHeight="1">
      <x:c r="A438" s="4" t="n">
        <x:v>439</x:v>
      </x:c>
      <x:c r="B438" s="5" t="str">
        <x:v>Stockwiz Strategy - Alpha Quant</x:v>
      </x:c>
      <x:c r="C438" s="5" t="str">
        <x:v>STOCKWIZ TECHNOLOGIES LLP</x:v>
      </x:c>
      <x:c r="D438" s="5" t="str">
        <x:v>Diversified / strategy</x:v>
      </x:c>
      <x:c r="E438" s="5" t="str">
        <x:v>No specific industry mandate identified</x:v>
      </x:c>
      <x:c r="F438" s="5" t="str">
        <x:v>Quant / factor</x:v>
      </x:c>
      <x:c r="G438" s="6" t="n">
        <x:v>17681</x:v>
      </x:c>
      <x:c r="H438" s="4" t="str">
        <x:v>High</x:v>
      </x:c>
      <x:c r="I438" s="4" t="str">
        <x:v>Fee based</x:v>
      </x:c>
      <x:c r="J438" s="6" t="n">
        <x:v>614</x:v>
      </x:c>
      <x:c r="K438" s="5" t="str">
        <x:v>This is a fast paced portfolio based on our proprietary quant trading system to buy strongest stocks</x:v>
      </x:c>
      <x:c r="L438" s="5" t="str">
        <x:v>No sector tags assigned; see description</x:v>
      </x:c>
      <x:c r="M438" s="7" t="d">
        <x:v>2026-01-29T00:00:00.000Z</x:v>
      </x:c>
      <x:c r="N438" s="8" t="str">
        <x:v>https://www.smallcase.com/smallcase/stockwiz-strategy-alpha-model-SWTEMX_0003</x:v>
      </x:c>
      <x:c r="O438" s="4" t="str">
        <x:v>SWTEMX_0003</x:v>
      </x:c>
      <x:c r="P438" s="5" t="str">
        <x:v>Diversified; sector mandate not specified</x:v>
      </x:c>
    </x:row>
    <x:row r="439" ht="60" customHeight="1">
      <x:c r="A439" s="4" t="n">
        <x:v>440</x:v>
      </x:c>
      <x:c r="B439" s="5" t="str">
        <x:v>Rural Theme</x:v>
      </x:c>
      <x:c r="C439" s="5" t="str">
        <x:v>Quantace Research</x:v>
      </x:c>
      <x:c r="D439" s="5" t="str">
        <x:v>Sector / industry theme</x:v>
      </x:c>
      <x:c r="E439" s="5" t="str">
        <x:v>Consumer, FMCG &amp; durables</x:v>
      </x:c>
      <x:c r="F439" s="5" t="str">
        <x:v>Other / not specified</x:v>
      </x:c>
      <x:c r="G439" s="6" t="n">
        <x:v>92990</x:v>
      </x:c>
      <x:c r="H439" s="4" t="str">
        <x:v>High</x:v>
      </x:c>
      <x:c r="I439" s="4" t="str">
        <x:v>Fee based</x:v>
      </x:c>
      <x:c r="J439" s="6" t="n">
        <x:v>675</x:v>
      </x:c>
      <x:c r="K439" s="5" t="str">
        <x:v>Invest in the Stocks Linked to Rural Economy</x:v>
      </x:c>
      <x:c r="L439" s="5" t="str">
        <x:v>Title and listing description</x:v>
      </x:c>
      <x:c r="M439" s="7" t="d">
        <x:v>2026-10-26T00:00:00.000Z</x:v>
      </x:c>
      <x:c r="N439" s="8" t="str">
        <x:v>https://www.smallcase.com/smallcase/rural-theme-QURENM_0013</x:v>
      </x:c>
      <x:c r="O439" s="4" t="str">
        <x:v>QURENM_0013</x:v>
      </x:c>
      <x:c r="P439" s="5" t="str"/>
    </x:row>
    <x:row r="440" ht="60" customHeight="1">
      <x:c r="A440" s="4" t="n">
        <x:v>441</x:v>
      </x:c>
      <x:c r="B440" s="5" t="str">
        <x:v>WHIRLPOOL FF - Mid-Smallcap Growth Model</x:v>
      </x:c>
      <x:c r="C440" s="5" t="str">
        <x:v>Modulor Capital</x:v>
      </x:c>
      <x:c r="D440" s="5" t="str">
        <x:v>Diversified / strategy</x:v>
      </x:c>
      <x:c r="E440" s="5" t="str">
        <x:v>No specific industry mandate identified</x:v>
      </x:c>
      <x:c r="F440" s="5" t="str">
        <x:v>Quant / factor</x:v>
      </x:c>
      <x:c r="G440" s="6" t="n">
        <x:v>100000</x:v>
      </x:c>
      <x:c r="H440" s="4" t="str">
        <x:v>Medium</x:v>
      </x:c>
      <x:c r="I440" s="4" t="str">
        <x:v>Fee based</x:v>
      </x:c>
      <x:c r="J440" s="6" t="n">
        <x:v>2620</x:v>
      </x:c>
      <x:c r="K440" s="5" t="str">
        <x:v>Growth Investing | Quantamental Focused-equity | Mid-Smallcap Universe | Monthly Review</x:v>
      </x:c>
      <x:c r="L440" s="5" t="str">
        <x:v>No sector tags assigned; see description</x:v>
      </x:c>
      <x:c r="M440" s="7" t="d">
        <x:v>2026-10-26T00:00:00.000Z</x:v>
      </x:c>
      <x:c r="N440" s="8" t="str">
        <x:v>https://www.smallcase.com/smallcase/whirlpool:-mid-smallcap-growth-investing-model-MODMX_0001</x:v>
      </x:c>
      <x:c r="O440" s="4" t="str">
        <x:v>MODMX_0001</x:v>
      </x:c>
      <x:c r="P440" s="5" t="str">
        <x:v>Diversified; sector mandate not specified</x:v>
      </x:c>
    </x:row>
    <x:row r="441" ht="60" customHeight="1">
      <x:c r="A441" s="4" t="n">
        <x:v>442</x:v>
      </x:c>
      <x:c r="B441" s="5" t="str">
        <x:v>HURRICANE FF - Nanocap Value Model</x:v>
      </x:c>
      <x:c r="C441" s="5" t="str">
        <x:v>Modulor Capital</x:v>
      </x:c>
      <x:c r="D441" s="5" t="str">
        <x:v>Diversified / strategy</x:v>
      </x:c>
      <x:c r="E441" s="5" t="str">
        <x:v>No specific industry mandate identified</x:v>
      </x:c>
      <x:c r="F441" s="5" t="str">
        <x:v>Value / contrarian</x:v>
      </x:c>
      <x:c r="G441" s="6" t="n">
        <x:v>100000</x:v>
      </x:c>
      <x:c r="H441" s="4" t="str">
        <x:v>High</x:v>
      </x:c>
      <x:c r="I441" s="4" t="str">
        <x:v>Fee based</x:v>
      </x:c>
      <x:c r="J441" s="6" t="n">
        <x:v>2620</x:v>
      </x:c>
      <x:c r="K441" s="5" t="str">
        <x:v>Risk-seeking Value Investing | Quantamental Focused-equity | Nanocap Universe | Monthly Review</x:v>
      </x:c>
      <x:c r="L441" s="5" t="str">
        <x:v>No sector tags assigned; see description</x:v>
      </x:c>
      <x:c r="M441" s="7" t="d">
        <x:v>2026-10-26T00:00:00.000Z</x:v>
      </x:c>
      <x:c r="N441" s="8" t="str">
        <x:v>https://www.smallcase.com/smallcase/hurricane:-nanocap-value-investing-model-MODMX_0004</x:v>
      </x:c>
      <x:c r="O441" s="4" t="str">
        <x:v>MODMX_0004</x:v>
      </x:c>
      <x:c r="P441" s="5" t="str">
        <x:v>Diversified; sector mandate not specified</x:v>
      </x:c>
    </x:row>
    <x:row r="442" ht="60" customHeight="1">
      <x:c r="A442" s="4" t="n">
        <x:v>443</x:v>
      </x:c>
      <x:c r="B442" s="5" t="str">
        <x:v>EquiWealth - Largecap Fundamental</x:v>
      </x:c>
      <x:c r="C442" s="5" t="str">
        <x:v>Equivision Consulting</x:v>
      </x:c>
      <x:c r="D442" s="5" t="str">
        <x:v>Diversified / strategy</x:v>
      </x:c>
      <x:c r="E442" s="5" t="str">
        <x:v>No specific industry mandate identified</x:v>
      </x:c>
      <x:c r="F442" s="5" t="str">
        <x:v>Fundamental / growth / quality</x:v>
      </x:c>
      <x:c r="G442" s="6" t="n">
        <x:v>388690</x:v>
      </x:c>
      <x:c r="H442" s="4" t="str">
        <x:v>High</x:v>
      </x:c>
      <x:c r="I442" s="4" t="str">
        <x:v>Fee based</x:v>
      </x:c>
      <x:c r="J442" s="6" t="n">
        <x:v>520</x:v>
      </x:c>
      <x:c r="K442" s="5" t="str">
        <x:v>20-30 stocks: large-cap (Mcap&gt;70Kcr) stocks, strategically picked for sustained growth</x:v>
      </x:c>
      <x:c r="L442" s="5" t="str">
        <x:v>No sector tags assigned; see description</x:v>
      </x:c>
      <x:c r="M442" s="7" t="d">
        <x:v>2026-09-01T00:00:00.000Z</x:v>
      </x:c>
      <x:c r="N442" s="8" t="str">
        <x:v>https://www.smallcase.com/smallcase/equiwealth-largecap-fundamental-EREQFMM_0007</x:v>
      </x:c>
      <x:c r="O442" s="4" t="str">
        <x:v>EREQFMM_0007</x:v>
      </x:c>
      <x:c r="P442" s="5" t="str">
        <x:v>Diversified; sector mandate not specified</x:v>
      </x:c>
    </x:row>
    <x:row r="443" ht="60" customHeight="1">
      <x:c r="A443" s="4" t="n">
        <x:v>444</x:v>
      </x:c>
      <x:c r="B443" s="5" t="str">
        <x:v>EquiFocus - Multicap Fundamental</x:v>
      </x:c>
      <x:c r="C443" s="5" t="str">
        <x:v>Equivision Consulting</x:v>
      </x:c>
      <x:c r="D443" s="5" t="str">
        <x:v>Diversified / strategy</x:v>
      </x:c>
      <x:c r="E443" s="5" t="str">
        <x:v>No specific industry mandate identified</x:v>
      </x:c>
      <x:c r="F443" s="5" t="str">
        <x:v>Fundamental / growth / quality</x:v>
      </x:c>
      <x:c r="G443" s="6" t="n">
        <x:v>388131</x:v>
      </x:c>
      <x:c r="H443" s="4" t="str">
        <x:v>High</x:v>
      </x:c>
      <x:c r="I443" s="4" t="str">
        <x:v>Fee based</x:v>
      </x:c>
      <x:c r="J443" s="6" t="n">
        <x:v>786</x:v>
      </x:c>
      <x:c r="K443" s="5" t="str">
        <x:v>20-30 Stocks: Balanced strategy with 25% Largecaps, 25% Midcaps, 25% Smallcaps and 25% Flexi</x:v>
      </x:c>
      <x:c r="L443" s="5" t="str">
        <x:v>No sector tags assigned; see description</x:v>
      </x:c>
      <x:c r="M443" s="7" t="d">
        <x:v>2026-09-01T00:00:00.000Z</x:v>
      </x:c>
      <x:c r="N443" s="8" t="str">
        <x:v>https://www.smallcase.com/smallcase/equifocus-multicap-fundamental-EREQFMM_0008</x:v>
      </x:c>
      <x:c r="O443" s="4" t="str">
        <x:v>EREQFMM_0008</x:v>
      </x:c>
      <x:c r="P443" s="5" t="str">
        <x:v>Diversified; sector mandate not specified</x:v>
      </x:c>
    </x:row>
    <x:row r="444" ht="60" customHeight="1">
      <x:c r="A444" s="4" t="n">
        <x:v>445</x:v>
      </x:c>
      <x:c r="B444" s="5" t="str">
        <x:v>EquiGrowth - HNI Fundamental</x:v>
      </x:c>
      <x:c r="C444" s="5" t="str">
        <x:v>Equivision Consulting</x:v>
      </x:c>
      <x:c r="D444" s="5" t="str">
        <x:v>Diversified / strategy</x:v>
      </x:c>
      <x:c r="E444" s="5" t="str">
        <x:v>No specific industry mandate identified</x:v>
      </x:c>
      <x:c r="F444" s="5" t="str">
        <x:v>Fundamental / growth / quality</x:v>
      </x:c>
      <x:c r="G444" s="6" t="n">
        <x:v>104656</x:v>
      </x:c>
      <x:c r="H444" s="4" t="str">
        <x:v>High</x:v>
      </x:c>
      <x:c r="I444" s="4" t="str">
        <x:v>Fee based</x:v>
      </x:c>
      <x:c r="J444" s="6" t="n">
        <x:v>5120</x:v>
      </x:c>
      <x:c r="K444" s="5" t="str">
        <x:v>20-30 Stocks: Aggressive small &amp; mid-cap growth strategy for HNIs.</x:v>
      </x:c>
      <x:c r="L444" s="5" t="str">
        <x:v>No sector tags assigned; see description</x:v>
      </x:c>
      <x:c r="M444" s="7" t="d">
        <x:v>2026-09-30T00:00:00.000Z</x:v>
      </x:c>
      <x:c r="N444" s="8" t="str">
        <x:v>https://www.smallcase.com/smallcase/equigrowth-hni-fundamental-EREQFMM_0009</x:v>
      </x:c>
      <x:c r="O444" s="4" t="str">
        <x:v>EREQFMM_0009</x:v>
      </x:c>
      <x:c r="P444" s="5" t="str">
        <x:v>Diversified; sector mandate not specified</x:v>
      </x:c>
    </x:row>
    <x:row r="445" ht="60" customHeight="1">
      <x:c r="A445" s="4" t="n">
        <x:v>446</x:v>
      </x:c>
      <x:c r="B445" s="5" t="str">
        <x:v>EquiVision - Flexicap Asset Allocation</x:v>
      </x:c>
      <x:c r="C445" s="5" t="str">
        <x:v>Equivision Consulting</x:v>
      </x:c>
      <x:c r="D445" s="5" t="str">
        <x:v>Asset allocation / target date</x:v>
      </x:c>
      <x:c r="E445" s="5" t="str">
        <x:v>No specific industry mandate identified</x:v>
      </x:c>
      <x:c r="F445" s="5" t="str">
        <x:v>Asset allocation</x:v>
      </x:c>
      <x:c r="G445" s="6" t="n">
        <x:v>387799</x:v>
      </x:c>
      <x:c r="H445" s="4" t="str">
        <x:v>High</x:v>
      </x:c>
      <x:c r="I445" s="4" t="str">
        <x:v>Fee based</x:v>
      </x:c>
      <x:c r="J445" s="6" t="n">
        <x:v>879</x:v>
      </x:c>
      <x:c r="K445" s="5" t="str">
        <x:v>20-30 Stocks: Dynamic asset allocation with Commodities, Debt, ETFs, and Equities</x:v>
      </x:c>
      <x:c r="L445" s="5" t="str">
        <x:v>No sector tags assigned; see description</x:v>
      </x:c>
      <x:c r="M445" s="7" t="d">
        <x:v>2026-09-01T00:00:00.000Z</x:v>
      </x:c>
      <x:c r="N445" s="8" t="str">
        <x:v>https://www.smallcase.com/smallcase/equivision-flexicap-asset-allocation-EREQAA_0001</x:v>
      </x:c>
      <x:c r="O445" s="4" t="str">
        <x:v>EREQAA_0001</x:v>
      </x:c>
      <x:c r="P445" s="5" t="str">
        <x:v>Asset allocation / target date</x:v>
      </x:c>
    </x:row>
    <x:row r="446" ht="60" customHeight="1">
      <x:c r="A446" s="4" t="n">
        <x:v>447</x:v>
      </x:c>
      <x:c r="B446" s="5" t="str">
        <x:v>CWA Smart Select Quant</x:v>
      </x:c>
      <x:c r="C446" s="5" t="str">
        <x:v>Compounding Wealth Advisors</x:v>
      </x:c>
      <x:c r="D446" s="5" t="str">
        <x:v>Diversified / strategy</x:v>
      </x:c>
      <x:c r="E446" s="5" t="str">
        <x:v>No specific industry mandate identified</x:v>
      </x:c>
      <x:c r="F446" s="5" t="str">
        <x:v>Quant / factor</x:v>
      </x:c>
      <x:c r="G446" s="6" t="n">
        <x:v>240791</x:v>
      </x:c>
      <x:c r="H446" s="4" t="str">
        <x:v>Medium</x:v>
      </x:c>
      <x:c r="I446" s="4" t="str">
        <x:v>Fee based</x:v>
      </x:c>
      <x:c r="J446" s="6" t="n">
        <x:v>983</x:v>
      </x:c>
      <x:c r="K446" s="5" t="str">
        <x:v>Carefully curated systematic portfolio designed using quantitative parameters.</x:v>
      </x:c>
      <x:c r="L446" s="5" t="str">
        <x:v>No sector tags assigned; see description</x:v>
      </x:c>
      <x:c r="M446" s="7" t="d">
        <x:v>2026-10-26T00:00:00.000Z</x:v>
      </x:c>
      <x:c r="N446" s="8" t="str">
        <x:v>https://www.smallcase.com/smallcase/cwa-smart-select-quant-COWAQM_0004</x:v>
      </x:c>
      <x:c r="O446" s="4" t="str">
        <x:v>COWAQM_0004</x:v>
      </x:c>
      <x:c r="P446" s="5" t="str">
        <x:v>Diversified; sector mandate not specified</x:v>
      </x:c>
    </x:row>
    <x:row r="447" ht="60" customHeight="1">
      <x:c r="A447" s="4" t="n">
        <x:v>448</x:v>
      </x:c>
      <x:c r="B447" s="5" t="str">
        <x:v>Stockwiz HNI Wealth Factor Fundamental</x:v>
      </x:c>
      <x:c r="C447" s="5" t="str">
        <x:v>STOCKWIZ TECHNOLOGIES LLP</x:v>
      </x:c>
      <x:c r="D447" s="5" t="str">
        <x:v>Diversified / strategy</x:v>
      </x:c>
      <x:c r="E447" s="5" t="str">
        <x:v>No specific industry mandate identified</x:v>
      </x:c>
      <x:c r="F447" s="5" t="str">
        <x:v>Quant / factor</x:v>
      </x:c>
      <x:c r="G447" s="6" t="n">
        <x:v>17684</x:v>
      </x:c>
      <x:c r="H447" s="4" t="str">
        <x:v>High</x:v>
      </x:c>
      <x:c r="I447" s="4" t="str">
        <x:v>Fee based</x:v>
      </x:c>
      <x:c r="J447" s="6" t="n">
        <x:v>737</x:v>
      </x:c>
      <x:c r="K447" s="5" t="str">
        <x:v>This smallcase portfolio invests in a well diversified pool of growth stocks.</x:v>
      </x:c>
      <x:c r="L447" s="5" t="str">
        <x:v>No sector tags assigned; see description</x:v>
      </x:c>
      <x:c r="M447" s="7" t="d">
        <x:v>2026-01-29T00:00:00.000Z</x:v>
      </x:c>
      <x:c r="N447" s="8" t="str">
        <x:v>https://www.smallcase.com/smallcase/stockwiz-hni-wealth-factor-model-SWTEMX_0005</x:v>
      </x:c>
      <x:c r="O447" s="4" t="str">
        <x:v>SWTEMX_0005</x:v>
      </x:c>
      <x:c r="P447" s="5" t="str">
        <x:v>Diversified; sector mandate not specified</x:v>
      </x:c>
    </x:row>
    <x:row r="448" ht="60" customHeight="1">
      <x:c r="A448" s="4" t="n">
        <x:v>449</x:v>
      </x:c>
      <x:c r="B448" s="5" t="str">
        <x:v>The Daring Defence Pack Theme</x:v>
      </x:c>
      <x:c r="C448" s="5" t="str">
        <x:v>Ethical Advisers</x:v>
      </x:c>
      <x:c r="D448" s="5" t="str">
        <x:v>Sector / industry theme</x:v>
      </x:c>
      <x:c r="E448" s="5" t="str">
        <x:v>Defence &amp; aerospace</x:v>
      </x:c>
      <x:c r="F448" s="5" t="str">
        <x:v>Other / not specified</x:v>
      </x:c>
      <x:c r="G448" s="6" t="n">
        <x:v>317676</x:v>
      </x:c>
      <x:c r="H448" s="4" t="str">
        <x:v>High</x:v>
      </x:c>
      <x:c r="I448" s="4" t="str">
        <x:v>Fee based</x:v>
      </x:c>
      <x:c r="J448" s="6" t="n">
        <x:v>583</x:v>
      </x:c>
      <x:c r="K448" s="5" t="str">
        <x:v>A selection of stocks curated to benefit from the defense push in India</x:v>
      </x:c>
      <x:c r="L448" s="5" t="str">
        <x:v>Title and listing description</x:v>
      </x:c>
      <x:c r="M448" s="7" t="d">
        <x:v>2026-10-21T00:00:00.000Z</x:v>
      </x:c>
      <x:c r="N448" s="8" t="str">
        <x:v>https://www.smallcase.com/smallcase/the-daring-defence-pack-theme-EHANM_0021</x:v>
      </x:c>
      <x:c r="O448" s="4" t="str">
        <x:v>EHANM_0021</x:v>
      </x:c>
      <x:c r="P448" s="5" t="str"/>
    </x:row>
    <x:row r="449" ht="60" customHeight="1">
      <x:c r="A449" s="4" t="n">
        <x:v>450</x:v>
      </x:c>
      <x:c r="B449" s="5" t="str">
        <x:v>Lotusdew ETF Multi Asset Allocation</x:v>
      </x:c>
      <x:c r="C449" s="5" t="str">
        <x:v>Lotusdew Wealth</x:v>
      </x:c>
      <x:c r="D449" s="5" t="str">
        <x:v>Asset allocation / target date</x:v>
      </x:c>
      <x:c r="E449" s="5" t="str">
        <x:v>No specific industry mandate identified</x:v>
      </x:c>
      <x:c r="F449" s="5" t="str">
        <x:v>Asset allocation</x:v>
      </x:c>
      <x:c r="G449" s="6" t="n">
        <x:v>25000</x:v>
      </x:c>
      <x:c r="H449" s="4" t="str">
        <x:v>Medium</x:v>
      </x:c>
      <x:c r="I449" s="4" t="str">
        <x:v>Fee based</x:v>
      </x:c>
      <x:c r="J449" s="6" t="n">
        <x:v>629</x:v>
      </x:c>
      <x:c r="K449" s="5" t="str">
        <x:v>Global macro tactical asset allocation strategy using ETFs designed to outperform across cycle</x:v>
      </x:c>
      <x:c r="L449" s="5" t="str">
        <x:v>No sector tags assigned; see description</x:v>
      </x:c>
      <x:c r="M449" s="7" t="d">
        <x:v>2026-05-15T00:00:00.000Z</x:v>
      </x:c>
      <x:c r="N449" s="8" t="str">
        <x:v>https://www.smallcase.com/smallcase/etf-hedge-fund-strategy-lessgreater-asset-allocation-LTDAA_0001</x:v>
      </x:c>
      <x:c r="O449" s="4" t="str">
        <x:v>LTDAA_0001</x:v>
      </x:c>
      <x:c r="P449" s="5" t="str">
        <x:v>Asset allocation / target date</x:v>
      </x:c>
    </x:row>
    <x:row r="450" ht="60" customHeight="1">
      <x:c r="A450" s="4" t="n">
        <x:v>451</x:v>
      </x:c>
      <x:c r="B450" s="5" t="str">
        <x:v>Arth Logistics Theme</x:v>
      </x:c>
      <x:c r="C450" s="5" t="str">
        <x:v>Arthscience Capital Research Private Limited</x:v>
      </x:c>
      <x:c r="D450" s="5" t="str">
        <x:v>Sector / industry theme</x:v>
      </x:c>
      <x:c r="E450" s="5" t="str">
        <x:v>Logistics, transport &amp; aviation</x:v>
      </x:c>
      <x:c r="F450" s="5" t="str">
        <x:v>Other / not specified</x:v>
      </x:c>
      <x:c r="G450" s="6" t="n">
        <x:v>30075</x:v>
      </x:c>
      <x:c r="H450" s="4" t="str">
        <x:v>High</x:v>
      </x:c>
      <x:c r="I450" s="4" t="str">
        <x:v>Fee based</x:v>
      </x:c>
      <x:c r="J450" s="6" t="n">
        <x:v>983</x:v>
      </x:c>
      <x:c r="K450" s="5" t="str">
        <x:v>Riding the GatiShakti Fast Lane</x:v>
      </x:c>
      <x:c r="L450" s="5" t="str">
        <x:v>Title and listing description</x:v>
      </x:c>
      <x:c r="M450" s="7" t="d">
        <x:v>2026-09-21T00:00:00.000Z</x:v>
      </x:c>
      <x:c r="N450" s="8" t="str">
        <x:v>https://www.smallcase.com/smallcase/arth-logistics-theme-ASCRNM_0001</x:v>
      </x:c>
      <x:c r="O450" s="4" t="str">
        <x:v>ASCRNM_0001</x:v>
      </x:c>
      <x:c r="P450" s="5" t="str"/>
    </x:row>
    <x:row r="451" ht="60" customHeight="1">
      <x:c r="A451" s="4" t="n">
        <x:v>452</x:v>
      </x:c>
      <x:c r="B451" s="5" t="str">
        <x:v>Arth Private Banks Theme</x:v>
      </x:c>
      <x:c r="C451" s="5" t="str">
        <x:v>Arthscience Capital Research Private Limited</x:v>
      </x:c>
      <x:c r="D451" s="5" t="str">
        <x:v>Sector / industry theme</x:v>
      </x:c>
      <x:c r="E451" s="5" t="str">
        <x:v>Banks &amp; NBFCs</x:v>
      </x:c>
      <x:c r="F451" s="5" t="str">
        <x:v>Other / not specified</x:v>
      </x:c>
      <x:c r="G451" s="6" t="n">
        <x:v>10738</x:v>
      </x:c>
      <x:c r="H451" s="4" t="str">
        <x:v>High</x:v>
      </x:c>
      <x:c r="I451" s="4" t="str">
        <x:v>Fee based</x:v>
      </x:c>
      <x:c r="J451" s="6" t="n">
        <x:v>983</x:v>
      </x:c>
      <x:c r="K451" s="5" t="str">
        <x:v>Banking on the Consumption &amp; Private Sector demand surge</x:v>
      </x:c>
      <x:c r="L451" s="5" t="str">
        <x:v>Title and listing description</x:v>
      </x:c>
      <x:c r="M451" s="7" t="d">
        <x:v>2026-09-21T00:00:00.000Z</x:v>
      </x:c>
      <x:c r="N451" s="8" t="str">
        <x:v>https://www.smallcase.com/smallcase/arth-private-banks-theme-ASCRNM_0002</x:v>
      </x:c>
      <x:c r="O451" s="4" t="str">
        <x:v>ASCRNM_0002</x:v>
      </x:c>
      <x:c r="P451" s="5" t="str"/>
    </x:row>
    <x:row r="452" ht="60" customHeight="1">
      <x:c r="A452" s="4" t="n">
        <x:v>453</x:v>
      </x:c>
      <x:c r="B452" s="5" t="str">
        <x:v>Arth PSU Banks Theme</x:v>
      </x:c>
      <x:c r="C452" s="5" t="str">
        <x:v>Arthscience Capital Research Private Limited</x:v>
      </x:c>
      <x:c r="D452" s="5" t="str">
        <x:v>Sector / industry theme</x:v>
      </x:c>
      <x:c r="E452" s="5" t="str">
        <x:v>Banks &amp; NBFCs</x:v>
      </x:c>
      <x:c r="F452" s="5" t="str">
        <x:v>Other / not specified</x:v>
      </x:c>
      <x:c r="G452" s="6" t="n">
        <x:v>8378</x:v>
      </x:c>
      <x:c r="H452" s="4" t="str">
        <x:v>High</x:v>
      </x:c>
      <x:c r="I452" s="4" t="str">
        <x:v>Fee based</x:v>
      </x:c>
      <x:c r="J452" s="6" t="n">
        <x:v>983</x:v>
      </x:c>
      <x:c r="K452" s="5" t="str">
        <x:v>Grow with the Infrastructure Investments Boom</x:v>
      </x:c>
      <x:c r="L452" s="5" t="str">
        <x:v>Title and listing description</x:v>
      </x:c>
      <x:c r="M452" s="7" t="d">
        <x:v>2026-09-21T00:00:00.000Z</x:v>
      </x:c>
      <x:c r="N452" s="8" t="str">
        <x:v>https://www.smallcase.com/smallcase/arth-psu-banks-theme-ASCRNM_0003</x:v>
      </x:c>
      <x:c r="O452" s="4" t="str">
        <x:v>ASCRNM_0003</x:v>
      </x:c>
      <x:c r="P452" s="5" t="str"/>
    </x:row>
    <x:row r="453" ht="60" customHeight="1">
      <x:c r="A453" s="4" t="n">
        <x:v>454</x:v>
      </x:c>
      <x:c r="B453" s="5" t="str">
        <x:v>Arth Housing Finance Theme</x:v>
      </x:c>
      <x:c r="C453" s="5" t="str">
        <x:v>Arthscience Capital Research Private Limited</x:v>
      </x:c>
      <x:c r="D453" s="5" t="str">
        <x:v>Sector / industry theme</x:v>
      </x:c>
      <x:c r="E453" s="5" t="str">
        <x:v>Banks &amp; NBFCs</x:v>
      </x:c>
      <x:c r="F453" s="5" t="str">
        <x:v>Other / not specified</x:v>
      </x:c>
      <x:c r="G453" s="6" t="n">
        <x:v>13908</x:v>
      </x:c>
      <x:c r="H453" s="4" t="str">
        <x:v>High</x:v>
      </x:c>
      <x:c r="I453" s="4" t="str">
        <x:v>Fee based</x:v>
      </x:c>
      <x:c r="J453" s="6" t="n">
        <x:v>983</x:v>
      </x:c>
      <x:c r="K453" s="5" t="str">
        <x:v>Finance and Capitalize on the housing wave</x:v>
      </x:c>
      <x:c r="L453" s="5" t="str">
        <x:v>Title and listing description</x:v>
      </x:c>
      <x:c r="M453" s="7" t="d">
        <x:v>2026-09-21T00:00:00.000Z</x:v>
      </x:c>
      <x:c r="N453" s="8" t="str">
        <x:v>https://www.smallcase.com/smallcase/arth-housing-finance-theme-ASCRNM_0004</x:v>
      </x:c>
      <x:c r="O453" s="4" t="str">
        <x:v>ASCRNM_0004</x:v>
      </x:c>
      <x:c r="P453" s="5" t="str"/>
    </x:row>
    <x:row r="454" ht="60" customHeight="1">
      <x:c r="A454" s="4" t="n">
        <x:v>455</x:v>
      </x:c>
      <x:c r="B454" s="5" t="str">
        <x:v>Arth CleanTech Theme</x:v>
      </x:c>
      <x:c r="C454" s="5" t="str">
        <x:v>Arthscience Capital Research Private Limited</x:v>
      </x:c>
      <x:c r="D454" s="5" t="str">
        <x:v>Sector / industry theme</x:v>
      </x:c>
      <x:c r="E454" s="5" t="str">
        <x:v>Renewables, clean energy &amp; recycling</x:v>
      </x:c>
      <x:c r="F454" s="5" t="str">
        <x:v>Other / not specified</x:v>
      </x:c>
      <x:c r="G454" s="6" t="n">
        <x:v>25926</x:v>
      </x:c>
      <x:c r="H454" s="4" t="str">
        <x:v>High</x:v>
      </x:c>
      <x:c r="I454" s="4" t="str">
        <x:v>Fee based</x:v>
      </x:c>
      <x:c r="J454" s="6" t="n">
        <x:v>983</x:v>
      </x:c>
      <x:c r="K454" s="5" t="str">
        <x:v>Renew India through Clean Technology</x:v>
      </x:c>
      <x:c r="L454" s="5" t="str">
        <x:v>Title and listing description</x:v>
      </x:c>
      <x:c r="M454" s="7" t="d">
        <x:v>2026-09-21T00:00:00.000Z</x:v>
      </x:c>
      <x:c r="N454" s="8" t="str">
        <x:v>https://www.smallcase.com/smallcase/arth-cleantech-theme-ASCRNM_0005</x:v>
      </x:c>
      <x:c r="O454" s="4" t="str">
        <x:v>ASCRNM_0005</x:v>
      </x:c>
      <x:c r="P454" s="5" t="str"/>
    </x:row>
    <x:row r="455" ht="60" customHeight="1">
      <x:c r="A455" s="4" t="n">
        <x:v>456</x:v>
      </x:c>
      <x:c r="B455" s="5" t="str">
        <x:v>Arth Infra NBFC Theme</x:v>
      </x:c>
      <x:c r="C455" s="5" t="str">
        <x:v>Arthscience Capital Research Private Limited</x:v>
      </x:c>
      <x:c r="D455" s="5" t="str">
        <x:v>Sector / industry theme</x:v>
      </x:c>
      <x:c r="E455" s="5" t="str">
        <x:v>Banks &amp; NBFCs</x:v>
      </x:c>
      <x:c r="F455" s="5" t="str">
        <x:v>Other / not specified</x:v>
      </x:c>
      <x:c r="G455" s="6" t="n">
        <x:v>16285</x:v>
      </x:c>
      <x:c r="H455" s="4" t="str">
        <x:v>High</x:v>
      </x:c>
      <x:c r="I455" s="4" t="str">
        <x:v>Fee based</x:v>
      </x:c>
      <x:c r="J455" s="6" t="n">
        <x:v>983</x:v>
      </x:c>
      <x:c r="K455" s="5" t="str">
        <x:v>Financing the future Infrastructure</x:v>
      </x:c>
      <x:c r="L455" s="5" t="str">
        <x:v>Title and listing description</x:v>
      </x:c>
      <x:c r="M455" s="7" t="d">
        <x:v>2026-09-21T00:00:00.000Z</x:v>
      </x:c>
      <x:c r="N455" s="8" t="str">
        <x:v>https://www.smallcase.com/smallcase/arth-infra-nbfc-theme-ASCRNM_0009</x:v>
      </x:c>
      <x:c r="O455" s="4" t="str">
        <x:v>ASCRNM_0009</x:v>
      </x:c>
      <x:c r="P455" s="5" t="str"/>
    </x:row>
    <x:row r="456" ht="60" customHeight="1">
      <x:c r="A456" s="4" t="n">
        <x:v>457</x:v>
      </x:c>
      <x:c r="B456" s="5" t="str">
        <x:v>Arth Locomotives Theme</x:v>
      </x:c>
      <x:c r="C456" s="5" t="str">
        <x:v>Arthscience Capital Research Private Limited</x:v>
      </x:c>
      <x:c r="D456" s="5" t="str">
        <x:v>Sector / industry theme</x:v>
      </x:c>
      <x:c r="E456" s="5" t="str">
        <x:v>Railways</x:v>
      </x:c>
      <x:c r="F456" s="5" t="str">
        <x:v>Other / not specified</x:v>
      </x:c>
      <x:c r="G456" s="6" t="n">
        <x:v>41277</x:v>
      </x:c>
      <x:c r="H456" s="4" t="str">
        <x:v>High</x:v>
      </x:c>
      <x:c r="I456" s="4" t="str">
        <x:v>Fee based</x:v>
      </x:c>
      <x:c r="J456" s="6" t="n">
        <x:v>983</x:v>
      </x:c>
      <x:c r="K456" s="5" t="str">
        <x:v>Pulling India to the Future</x:v>
      </x:c>
      <x:c r="L456" s="5" t="str">
        <x:v>Title and listing description</x:v>
      </x:c>
      <x:c r="M456" s="7" t="d">
        <x:v>2026-09-21T00:00:00.000Z</x:v>
      </x:c>
      <x:c r="N456" s="8" t="str">
        <x:v>https://www.smallcase.com/smallcase/arth-locomotives-theme-ASCRNM_0011</x:v>
      </x:c>
      <x:c r="O456" s="4" t="str">
        <x:v>ASCRNM_0011</x:v>
      </x:c>
      <x:c r="P456" s="5" t="str"/>
    </x:row>
    <x:row r="457" ht="60" customHeight="1">
      <x:c r="A457" s="4" t="n">
        <x:v>458</x:v>
      </x:c>
      <x:c r="B457" s="5" t="str">
        <x:v>Arth Strategic Minerals Theme</x:v>
      </x:c>
      <x:c r="C457" s="5" t="str">
        <x:v>Arthscience Capital Research Private Limited</x:v>
      </x:c>
      <x:c r="D457" s="5" t="str">
        <x:v>Sector / industry theme</x:v>
      </x:c>
      <x:c r="E457" s="5" t="str">
        <x:v>Metals, mining &amp; minerals</x:v>
      </x:c>
      <x:c r="F457" s="5" t="str">
        <x:v>Other / not specified</x:v>
      </x:c>
      <x:c r="G457" s="6" t="n">
        <x:v>39468</x:v>
      </x:c>
      <x:c r="H457" s="4" t="str">
        <x:v>High</x:v>
      </x:c>
      <x:c r="I457" s="4" t="str">
        <x:v>Fee based</x:v>
      </x:c>
      <x:c r="J457" s="6" t="n">
        <x:v>983</x:v>
      </x:c>
      <x:c r="K457" s="5" t="str">
        <x:v>Strategic Resources and Rare Earth Materials for a Secure Future</x:v>
      </x:c>
      <x:c r="L457" s="5" t="str">
        <x:v>Title and listing description</x:v>
      </x:c>
      <x:c r="M457" s="7" t="d">
        <x:v>2026-09-21T00:00:00.000Z</x:v>
      </x:c>
      <x:c r="N457" s="8" t="str">
        <x:v>https://www.smallcase.com/smallcase/arth-strategic-minerals-theme-ASCRNM_0012</x:v>
      </x:c>
      <x:c r="O457" s="4" t="str">
        <x:v>ASCRNM_0012</x:v>
      </x:c>
      <x:c r="P457" s="5" t="str"/>
    </x:row>
    <x:row r="458" ht="60" customHeight="1">
      <x:c r="A458" s="4" t="n">
        <x:v>459</x:v>
      </x:c>
      <x:c r="B458" s="5" t="str">
        <x:v>Stockwiz Global Equity Fund Asset Allocation</x:v>
      </x:c>
      <x:c r="C458" s="5" t="str">
        <x:v>STOCKWIZ TECHNOLOGIES LLP</x:v>
      </x:c>
      <x:c r="D458" s="5" t="str">
        <x:v>Asset allocation / target date</x:v>
      </x:c>
      <x:c r="E458" s="5" t="str">
        <x:v>No specific industry mandate identified</x:v>
      </x:c>
      <x:c r="F458" s="5" t="str">
        <x:v>Asset allocation</x:v>
      </x:c>
      <x:c r="G458" s="6" t="n">
        <x:v>2106</x:v>
      </x:c>
      <x:c r="H458" s="4" t="str">
        <x:v>High</x:v>
      </x:c>
      <x:c r="I458" s="4" t="str">
        <x:v>Fee based</x:v>
      </x:c>
      <x:c r="J458" s="6" t="n">
        <x:v>638</x:v>
      </x:c>
      <x:c r="K458" s="5" t="str">
        <x:v>This portfolio is a well diversified, portfolio of direct ETFs spanning across multiple assets.</x:v>
      </x:c>
      <x:c r="L458" s="5" t="str">
        <x:v>No sector tags assigned; see description</x:v>
      </x:c>
      <x:c r="M458" s="7"/>
      <x:c r="N458" s="8" t="str">
        <x:v>https://www.smallcase.com/smallcase/stockwiz-global-equity-fund-model-SWTEMX_0007</x:v>
      </x:c>
      <x:c r="O458" s="4" t="str">
        <x:v>SWTEMX_0007</x:v>
      </x:c>
      <x:c r="P458" s="5" t="str">
        <x:v>Asset allocation / target date</x:v>
      </x:c>
    </x:row>
    <x:row r="459" ht="60" customHeight="1">
      <x:c r="A459" s="4" t="n">
        <x:v>460</x:v>
      </x:c>
      <x:c r="B459" s="5" t="str">
        <x:v>Stockwiz SwingVerse Model</x:v>
      </x:c>
      <x:c r="C459" s="5" t="str">
        <x:v>STOCKWIZ TECHNOLOGIES LLP</x:v>
      </x:c>
      <x:c r="D459" s="5" t="str">
        <x:v>Diversified / strategy</x:v>
      </x:c>
      <x:c r="E459" s="5" t="str">
        <x:v>No specific industry mandate identified</x:v>
      </x:c>
      <x:c r="F459" s="5" t="str">
        <x:v>Fundamental / growth / quality</x:v>
      </x:c>
      <x:c r="G459" s="6" t="n">
        <x:v>19821</x:v>
      </x:c>
      <x:c r="H459" s="4" t="str">
        <x:v>High</x:v>
      </x:c>
      <x:c r="I459" s="4" t="str">
        <x:v>Fee based</x:v>
      </x:c>
      <x:c r="J459" s="6" t="n">
        <x:v>737</x:v>
      </x:c>
      <x:c r="K459" s="5" t="str">
        <x:v>A curated portfolio designed to capture swing trading opportunities in fundamentally strong stocks.</x:v>
      </x:c>
      <x:c r="L459" s="5" t="str">
        <x:v>No sector tags assigned; see description</x:v>
      </x:c>
      <x:c r="M459" s="7" t="d">
        <x:v>2026-10-22T00:00:00.000Z</x:v>
      </x:c>
      <x:c r="N459" s="8" t="str">
        <x:v>https://www.smallcase.com/smallcase/stockwiz-swingverse-model-SWTEMX_0009</x:v>
      </x:c>
      <x:c r="O459" s="4" t="str">
        <x:v>SWTEMX_0009</x:v>
      </x:c>
      <x:c r="P459" s="5" t="str">
        <x:v>Diversified; sector mandate not specified</x:v>
      </x:c>
    </x:row>
    <x:row r="460" ht="60" customHeight="1">
      <x:c r="A460" s="4" t="n">
        <x:v>461</x:v>
      </x:c>
      <x:c r="B460" s="5" t="str">
        <x:v>Smart Momentum Model</x:v>
      </x:c>
      <x:c r="C460" s="5" t="str">
        <x:v>WealthTrust Capital Services</x:v>
      </x:c>
      <x:c r="D460" s="5" t="str">
        <x:v>Diversified / strategy</x:v>
      </x:c>
      <x:c r="E460" s="5" t="str">
        <x:v>No specific industry mandate identified</x:v>
      </x:c>
      <x:c r="F460" s="5" t="str">
        <x:v>Momentum / trend</x:v>
      </x:c>
      <x:c r="G460" s="6" t="n">
        <x:v>25030</x:v>
      </x:c>
      <x:c r="H460" s="4" t="str">
        <x:v>High</x:v>
      </x:c>
      <x:c r="I460" s="4" t="str">
        <x:v>Fee based</x:v>
      </x:c>
      <x:c r="J460" s="6" t="n">
        <x:v>835</x:v>
      </x:c>
      <x:c r="K460" s="5" t="str">
        <x:v>We focus on companies exhibiting consistent momentum in stock price and earnings growth.</x:v>
      </x:c>
      <x:c r="L460" s="5" t="str">
        <x:v>No sector tags assigned; see description</x:v>
      </x:c>
      <x:c r="M460" s="7" t="d">
        <x:v>2025-10-10T00:00:00.000Z</x:v>
      </x:c>
      <x:c r="N460" s="8" t="str">
        <x:v>https://www.smallcase.com/smallcase/smart-momentum-model-WETRMX_0001</x:v>
      </x:c>
      <x:c r="O460" s="4" t="str">
        <x:v>WETRMX_0001</x:v>
      </x:c>
      <x:c r="P460" s="5" t="str">
        <x:v>Diversified; sector mandate not specified</x:v>
      </x:c>
    </x:row>
    <x:row r="461" ht="60" customHeight="1">
      <x:c r="A461" s="4" t="n">
        <x:v>462</x:v>
      </x:c>
      <x:c r="B461" s="5" t="str">
        <x:v>SSR Core Catalyst Momentum Model</x:v>
      </x:c>
      <x:c r="C461" s="5" t="str">
        <x:v>SSR Research Services</x:v>
      </x:c>
      <x:c r="D461" s="5" t="str">
        <x:v>Diversified / strategy</x:v>
      </x:c>
      <x:c r="E461" s="5" t="str">
        <x:v>No specific industry mandate identified</x:v>
      </x:c>
      <x:c r="F461" s="5" t="str">
        <x:v>Momentum / trend</x:v>
      </x:c>
      <x:c r="G461" s="6" t="n">
        <x:v>90022</x:v>
      </x:c>
      <x:c r="H461" s="4" t="str">
        <x:v>High</x:v>
      </x:c>
      <x:c r="I461" s="4" t="str">
        <x:v>Fee based</x:v>
      </x:c>
      <x:c r="J461" s="6" t="n">
        <x:v>1178</x:v>
      </x:c>
      <x:c r="K461" s="5" t="str">
        <x:v>20 high-momentum stocks from Nifty 250 universe, diversified portfolio, rebalanced weekly.</x:v>
      </x:c>
      <x:c r="L461" s="5" t="str">
        <x:v>No sector tags assigned; see description</x:v>
      </x:c>
      <x:c r="M461" s="7" t="d">
        <x:v>2026-10-23T00:00:00.000Z</x:v>
      </x:c>
      <x:c r="N461" s="8" t="str">
        <x:v>https://www.smallcase.com/smallcase/ssr-nifty-250-core-catalyst-momentum-model-SSRSFAM_0002</x:v>
      </x:c>
      <x:c r="O461" s="4" t="str">
        <x:v>SSRSFAM_0002</x:v>
      </x:c>
      <x:c r="P461" s="5" t="str">
        <x:v>Diversified; sector mandate not specified</x:v>
      </x:c>
    </x:row>
    <x:row r="462" ht="60" customHeight="1">
      <x:c r="A462" s="4" t="n">
        <x:v>463</x:v>
      </x:c>
      <x:c r="B462" s="5" t="str">
        <x:v>SSR Buffered Momentum Model</x:v>
      </x:c>
      <x:c r="C462" s="5" t="str">
        <x:v>SSR Research Services</x:v>
      </x:c>
      <x:c r="D462" s="5" t="str">
        <x:v>Diversified / strategy</x:v>
      </x:c>
      <x:c r="E462" s="5" t="str">
        <x:v>No specific industry mandate identified</x:v>
      </x:c>
      <x:c r="F462" s="5" t="str">
        <x:v>Momentum / trend</x:v>
      </x:c>
      <x:c r="G462" s="6" t="n">
        <x:v>74796</x:v>
      </x:c>
      <x:c r="H462" s="4" t="str">
        <x:v>Medium</x:v>
      </x:c>
      <x:c r="I462" s="4" t="str">
        <x:v>Fee based</x:v>
      </x:c>
      <x:c r="J462" s="6" t="n">
        <x:v>1178</x:v>
      </x:c>
      <x:c r="K462" s="5" t="str">
        <x:v>30 momentum stocks from Nifty 750 universe, aggressive cash calls based on trend, rebalanced weekly.</x:v>
      </x:c>
      <x:c r="L462" s="5" t="str">
        <x:v>No sector tags assigned; see description</x:v>
      </x:c>
      <x:c r="M462" s="7" t="d">
        <x:v>2026-10-23T00:00:00.000Z</x:v>
      </x:c>
      <x:c r="N462" s="8" t="str">
        <x:v>https://www.smallcase.com/smallcase/ssr-nifty-750-buffered-momentum-model-SSRSFAM_0003</x:v>
      </x:c>
      <x:c r="O462" s="4" t="str">
        <x:v>SSRSFAM_0003</x:v>
      </x:c>
      <x:c r="P462" s="5" t="str">
        <x:v>Diversified; sector mandate not specified</x:v>
      </x:c>
    </x:row>
    <x:row r="463" ht="60" customHeight="1">
      <x:c r="A463" s="4" t="n">
        <x:v>464</x:v>
      </x:c>
      <x:c r="B463" s="5" t="str">
        <x:v>SSR Low Volatility Model</x:v>
      </x:c>
      <x:c r="C463" s="5" t="str">
        <x:v>SSR Research Services</x:v>
      </x:c>
      <x:c r="D463" s="5" t="str">
        <x:v>Diversified / strategy</x:v>
      </x:c>
      <x:c r="E463" s="5" t="str">
        <x:v>No specific industry mandate identified</x:v>
      </x:c>
      <x:c r="F463" s="5" t="str">
        <x:v>Other / not specified</x:v>
      </x:c>
      <x:c r="G463" s="6" t="n">
        <x:v>71066</x:v>
      </x:c>
      <x:c r="H463" s="4" t="str">
        <x:v>Medium</x:v>
      </x:c>
      <x:c r="I463" s="4" t="str">
        <x:v>Fee based</x:v>
      </x:c>
      <x:c r="J463" s="6" t="n">
        <x:v>942</x:v>
      </x:c>
      <x:c r="K463" s="5" t="str">
        <x:v>20 low-volatile stocks from Nifty 750 universe, diversified portfolio, rebalanced quarterly.</x:v>
      </x:c>
      <x:c r="L463" s="5" t="str">
        <x:v>No sector tags assigned; see description</x:v>
      </x:c>
      <x:c r="M463" s="7" t="d">
        <x:v>2026-09-02T00:00:00.000Z</x:v>
      </x:c>
      <x:c r="N463" s="8" t="str">
        <x:v>https://www.smallcase.com/smallcase/ssr-nifty-750-low-volatility-model-SSRSFAM_0004</x:v>
      </x:c>
      <x:c r="O463" s="4" t="str">
        <x:v>SSRSFAM_0004</x:v>
      </x:c>
      <x:c r="P463" s="5" t="str">
        <x:v>Diversified; sector mandate not specified</x:v>
      </x:c>
    </x:row>
    <x:row r="464" ht="60" customHeight="1">
      <x:c r="A464" s="4" t="n">
        <x:v>465</x:v>
      </x:c>
      <x:c r="B464" s="5" t="str">
        <x:v>ETF Powerpack for Equity Smart Beta</x:v>
      </x:c>
      <x:c r="C464" s="5" t="str">
        <x:v>Ethical Advisers</x:v>
      </x:c>
      <x:c r="D464" s="5" t="str">
        <x:v>Asset allocation / target date</x:v>
      </x:c>
      <x:c r="E464" s="5" t="str">
        <x:v>No specific industry mandate identified</x:v>
      </x:c>
      <x:c r="F464" s="5" t="str">
        <x:v>Asset allocation</x:v>
      </x:c>
      <x:c r="G464" s="6" t="n">
        <x:v>4901</x:v>
      </x:c>
      <x:c r="H464" s="4" t="str">
        <x:v>Medium</x:v>
      </x:c>
      <x:c r="I464" s="4" t="str">
        <x:v>Fee based</x:v>
      </x:c>
      <x:c r="J464" s="6" t="n">
        <x:v>12</x:v>
      </x:c>
      <x:c r="K464" s="5" t="str">
        <x:v>An ideal combination of listed equity ETFs for long term passive equity exposure</x:v>
      </x:c>
      <x:c r="L464" s="5" t="str">
        <x:v>No sector tags assigned; see description</x:v>
      </x:c>
      <x:c r="M464" s="7" t="d">
        <x:v>2026-10-21T00:00:00.000Z</x:v>
      </x:c>
      <x:c r="N464" s="8" t="str">
        <x:v>https://www.smallcase.com/smallcase/etf-powerpack-for-equity-smart-beta-EHASB_0001</x:v>
      </x:c>
      <x:c r="O464" s="4" t="str">
        <x:v>EHASB_0001</x:v>
      </x:c>
      <x:c r="P464" s="5" t="str">
        <x:v>Asset allocation / target date</x:v>
      </x:c>
    </x:row>
    <x:row r="465" ht="60" customHeight="1">
      <x:c r="A465" s="4" t="n">
        <x:v>466</x:v>
      </x:c>
      <x:c r="B465" s="5" t="str">
        <x:v>Sprint Thematic Stocks Portfolio Quant</x:v>
      </x:c>
      <x:c r="C465" s="5" t="str">
        <x:v>SmartWealth.ai</x:v>
      </x:c>
      <x:c r="D465" s="5" t="str">
        <x:v>Diversified / strategy</x:v>
      </x:c>
      <x:c r="E465" s="5" t="str">
        <x:v>No specific industry mandate identified</x:v>
      </x:c>
      <x:c r="F465" s="5" t="str">
        <x:v>Quant / factor</x:v>
      </x:c>
      <x:c r="G465" s="6" t="n">
        <x:v>28899</x:v>
      </x:c>
      <x:c r="H465" s="4" t="str">
        <x:v>High</x:v>
      </x:c>
      <x:c r="I465" s="4" t="str">
        <x:v>Fee based</x:v>
      </x:c>
      <x:c r="J465" s="6" t="n">
        <x:v>1130</x:v>
      </x:c>
      <x:c r="K465" s="5" t="str">
        <x:v>15 Stocks from 3 High Growth Themes &amp; Sectors – Invest Up to ₹25 Lacs</x:v>
      </x:c>
      <x:c r="L465" s="5" t="str">
        <x:v>No sector tags assigned; see description</x:v>
      </x:c>
      <x:c r="M465" s="7" t="d">
        <x:v>2026-10-22T00:00:00.000Z</x:v>
      </x:c>
      <x:c r="N465" s="8" t="str">
        <x:v>https://www.smallcase.com/smallcase/sprint-thematic-stocks-portfolio-quant-SMWAQM_0001</x:v>
      </x:c>
      <x:c r="O465" s="4" t="str">
        <x:v>SMWAQM_0001</x:v>
      </x:c>
      <x:c r="P465" s="5" t="str">
        <x:v>Diversified; sector mandate not specified</x:v>
      </x:c>
    </x:row>
    <x:row r="466" ht="60" customHeight="1">
      <x:c r="A466" s="4" t="n">
        <x:v>467</x:v>
      </x:c>
      <x:c r="B466" s="5" t="str">
        <x:v>Growth Flexicap Model</x:v>
      </x:c>
      <x:c r="C466" s="5" t="str">
        <x:v>Samar Wealth</x:v>
      </x:c>
      <x:c r="D466" s="5" t="str">
        <x:v>Diversified / strategy</x:v>
      </x:c>
      <x:c r="E466" s="5" t="str">
        <x:v>No specific industry mandate identified</x:v>
      </x:c>
      <x:c r="F466" s="5" t="str">
        <x:v>Fundamental / growth / quality</x:v>
      </x:c>
      <x:c r="G466" s="6" t="n">
        <x:v>156405</x:v>
      </x:c>
      <x:c r="H466" s="4" t="str">
        <x:v>High</x:v>
      </x:c>
      <x:c r="I466" s="4" t="str">
        <x:v>Fee based</x:v>
      </x:c>
      <x:c r="J466" s="6" t="n">
        <x:v>983</x:v>
      </x:c>
      <x:c r="K466" s="5" t="str">
        <x:v>A Tactical Flexicap Portfolio capturing inflection points and scalable business opportunities.</x:v>
      </x:c>
      <x:c r="L466" s="5" t="str">
        <x:v>No sector tags assigned; see description</x:v>
      </x:c>
      <x:c r="M466" s="7" t="d">
        <x:v>2026-07-30T00:00:00.000Z</x:v>
      </x:c>
      <x:c r="N466" s="8" t="str">
        <x:v>https://www.smallcase.com/smallcase/legacis-flexicap-model-SAWEMX_0002</x:v>
      </x:c>
      <x:c r="O466" s="4" t="str">
        <x:v>SAWEMX_0002</x:v>
      </x:c>
      <x:c r="P466" s="5" t="str">
        <x:v>Diversified; sector mandate not specified</x:v>
      </x:c>
    </x:row>
    <x:row r="467" ht="60" customHeight="1">
      <x:c r="A467" s="4" t="n">
        <x:v>468</x:v>
      </x:c>
      <x:c r="B467" s="5" t="str">
        <x:v>Arth Equity Gold Asset Allocation</x:v>
      </x:c>
      <x:c r="C467" s="5" t="str">
        <x:v>Arthscience Capital Research Private Limited</x:v>
      </x:c>
      <x:c r="D467" s="5" t="str">
        <x:v>Asset allocation / target date</x:v>
      </x:c>
      <x:c r="E467" s="5" t="str">
        <x:v>No specific industry mandate identified</x:v>
      </x:c>
      <x:c r="F467" s="5" t="str">
        <x:v>Asset allocation</x:v>
      </x:c>
      <x:c r="G467" s="6" t="n">
        <x:v>92783</x:v>
      </x:c>
      <x:c r="H467" s="4" t="str">
        <x:v>High</x:v>
      </x:c>
      <x:c r="I467" s="4" t="str">
        <x:v>Fee based</x:v>
      </x:c>
      <x:c r="J467" s="6" t="n">
        <x:v>786</x:v>
      </x:c>
      <x:c r="K467" s="5" t="str">
        <x:v>Rise with Equities and Shine with Gold &amp; Silver</x:v>
      </x:c>
      <x:c r="L467" s="5" t="str">
        <x:v>No sector tags assigned; see description</x:v>
      </x:c>
      <x:c r="M467" s="7" t="d">
        <x:v>2026-09-21T00:00:00.000Z</x:v>
      </x:c>
      <x:c r="N467" s="8" t="str">
        <x:v>https://www.smallcase.com/smallcase/arth-equity-gold-asset-allocation-ASCRAA_0003</x:v>
      </x:c>
      <x:c r="O467" s="4" t="str">
        <x:v>ASCRAA_0003</x:v>
      </x:c>
      <x:c r="P467" s="5" t="str">
        <x:v>Asset allocation / target date</x:v>
      </x:c>
    </x:row>
    <x:row r="468" ht="60" customHeight="1">
      <x:c r="A468" s="4" t="n">
        <x:v>469</x:v>
      </x:c>
      <x:c r="B468" s="5" t="str">
        <x:v>FidelFolio Everest Equity Access Quant</x:v>
      </x:c>
      <x:c r="C468" s="5" t="str">
        <x:v>FidelFolio Investment</x:v>
      </x:c>
      <x:c r="D468" s="5" t="str">
        <x:v>Diversified / strategy</x:v>
      </x:c>
      <x:c r="E468" s="5" t="str">
        <x:v>No specific industry mandate identified</x:v>
      </x:c>
      <x:c r="F468" s="5" t="str">
        <x:v>Value / contrarian</x:v>
      </x:c>
      <x:c r="G468" s="6" t="n">
        <x:v>78628</x:v>
      </x:c>
      <x:c r="H468" s="4" t="str">
        <x:v>High</x:v>
      </x:c>
      <x:c r="I468" s="4" t="str">
        <x:v>Fee based</x:v>
      </x:c>
      <x:c r="J468" s="6" t="n">
        <x:v>583</x:v>
      </x:c>
      <x:c r="K468" s="5" t="str">
        <x:v>Midcap Prime: Value-Driven Stability</x:v>
      </x:c>
      <x:c r="L468" s="5" t="str">
        <x:v>No sector tags assigned; see description</x:v>
      </x:c>
      <x:c r="M468" s="7" t="d">
        <x:v>2025-12-22T00:00:00.000Z</x:v>
      </x:c>
      <x:c r="N468" s="8" t="str">
        <x:v>https://www.smallcase.com/smallcase/midcap-prime-quant-KIUPQM_0001</x:v>
      </x:c>
      <x:c r="O468" s="4" t="str">
        <x:v>KIUPQM_0001</x:v>
      </x:c>
      <x:c r="P468" s="5" t="str">
        <x:v>Diversified; sector mandate not specified</x:v>
      </x:c>
    </x:row>
    <x:row r="469" ht="60" customHeight="1">
      <x:c r="A469" s="4" t="n">
        <x:v>470</x:v>
      </x:c>
      <x:c r="B469" s="5" t="str">
        <x:v>Wright Consumption Theme</x:v>
      </x:c>
      <x:c r="C469" s="5" t="str">
        <x:v>Wright Research</x:v>
      </x:c>
      <x:c r="D469" s="5" t="str">
        <x:v>Sector / industry theme</x:v>
      </x:c>
      <x:c r="E469" s="5" t="str">
        <x:v>Consumer, FMCG &amp; durables</x:v>
      </x:c>
      <x:c r="F469" s="5" t="str">
        <x:v>Other / not specified</x:v>
      </x:c>
      <x:c r="G469" s="6" t="n">
        <x:v>44907</x:v>
      </x:c>
      <x:c r="H469" s="4" t="str">
        <x:v>High</x:v>
      </x:c>
      <x:c r="I469" s="4" t="str">
        <x:v>Fee based</x:v>
      </x:c>
      <x:c r="J469" s="6" t="n">
        <x:v>833</x:v>
      </x:c>
      <x:c r="K469" s="5" t="str">
        <x:v>Capitalize on India's consumption comeback and demand engine with a adaptive data driven strategy.</x:v>
      </x:c>
      <x:c r="L469" s="5" t="str">
        <x:v>Title and listing description</x:v>
      </x:c>
      <x:c r="M469" s="7" t="d">
        <x:v>2026-10-26T00:00:00.000Z</x:v>
      </x:c>
      <x:c r="N469" s="8" t="str">
        <x:v>https://www.smallcase.com/smallcase/consumer-theme-WRTNM_0005</x:v>
      </x:c>
      <x:c r="O469" s="4" t="str">
        <x:v>WRTNM_0005</x:v>
      </x:c>
      <x:c r="P469" s="5" t="str"/>
    </x:row>
    <x:row r="470" ht="60" customHeight="1">
      <x:c r="A470" s="4" t="n">
        <x:v>471</x:v>
      </x:c>
      <x:c r="B470" s="5" t="str">
        <x:v>SE Momentum N50 Top 10 Model</x:v>
      </x:c>
      <x:c r="C470" s="5" t="str">
        <x:v>StockEdge</x:v>
      </x:c>
      <x:c r="D470" s="5" t="str">
        <x:v>Diversified / strategy</x:v>
      </x:c>
      <x:c r="E470" s="5" t="str">
        <x:v>No specific industry mandate identified</x:v>
      </x:c>
      <x:c r="F470" s="5" t="str">
        <x:v>Momentum / trend</x:v>
      </x:c>
      <x:c r="G470" s="6" t="n">
        <x:v>208167</x:v>
      </x:c>
      <x:c r="H470" s="4" t="str">
        <x:v>Medium</x:v>
      </x:c>
      <x:c r="I470" s="4" t="str">
        <x:v>Fee based</x:v>
      </x:c>
      <x:c r="J470" s="6" t="n">
        <x:v>1000</x:v>
      </x:c>
      <x:c r="K470" s="5" t="str">
        <x:v>A momentum driven strategy that consistently invests in the top 10 strongest Nifty 50 stocks</x:v>
      </x:c>
      <x:c r="L470" s="5" t="str">
        <x:v>No sector tags assigned; see description</x:v>
      </x:c>
      <x:c r="M470" s="7" t="d">
        <x:v>2026-07-27T00:00:00.000Z</x:v>
      </x:c>
      <x:c r="N470" s="8" t="str">
        <x:v>https://www.smallcase.com/smallcase/se-momentum-nifty-50-top-10-model-SEPKMX_0001</x:v>
      </x:c>
      <x:c r="O470" s="4" t="str">
        <x:v>SEPKMX_0001</x:v>
      </x:c>
      <x:c r="P470" s="5" t="str">
        <x:v>Diversified; sector mandate not specified</x:v>
      </x:c>
    </x:row>
    <x:row r="471" ht="60" customHeight="1">
      <x:c r="A471" s="4" t="n">
        <x:v>472</x:v>
      </x:c>
      <x:c r="B471" s="5" t="str">
        <x:v>SE Momentum N-Next 50 Top 10 Model</x:v>
      </x:c>
      <x:c r="C471" s="5" t="str">
        <x:v>StockEdge</x:v>
      </x:c>
      <x:c r="D471" s="5" t="str">
        <x:v>Diversified / strategy</x:v>
      </x:c>
      <x:c r="E471" s="5" t="str">
        <x:v>No specific industry mandate identified</x:v>
      </x:c>
      <x:c r="F471" s="5" t="str">
        <x:v>Momentum / trend</x:v>
      </x:c>
      <x:c r="G471" s="6" t="n">
        <x:v>385610</x:v>
      </x:c>
      <x:c r="H471" s="4" t="str">
        <x:v>High</x:v>
      </x:c>
      <x:c r="I471" s="4" t="str">
        <x:v>Fee based</x:v>
      </x:c>
      <x:c r="J471" s="6" t="n">
        <x:v>1000</x:v>
      </x:c>
      <x:c r="K471" s="5" t="str">
        <x:v>Top 10 high-quality momentum stocks from the Nifty Next 50, capturing tomorrow’s leaders today</x:v>
      </x:c>
      <x:c r="L471" s="5" t="str">
        <x:v>No sector tags assigned; see description</x:v>
      </x:c>
      <x:c r="M471" s="7" t="d">
        <x:v>2026-07-27T00:00:00.000Z</x:v>
      </x:c>
      <x:c r="N471" s="8" t="str">
        <x:v>https://www.smallcase.com/smallcase/se-momentum-nifty-next-50-top-10-model-SEPKMX_0002</x:v>
      </x:c>
      <x:c r="O471" s="4" t="str">
        <x:v>SEPKMX_0002</x:v>
      </x:c>
      <x:c r="P471" s="5" t="str">
        <x:v>Diversified; sector mandate not specified</x:v>
      </x:c>
    </x:row>
    <x:row r="472" ht="60" customHeight="1">
      <x:c r="A472" s="4" t="n">
        <x:v>473</x:v>
      </x:c>
      <x:c r="B472" s="5" t="str">
        <x:v>SE Momentum N200 Top 10 Model</x:v>
      </x:c>
      <x:c r="C472" s="5" t="str">
        <x:v>StockEdge</x:v>
      </x:c>
      <x:c r="D472" s="5" t="str">
        <x:v>Diversified / strategy</x:v>
      </x:c>
      <x:c r="E472" s="5" t="str">
        <x:v>No specific industry mandate identified</x:v>
      </x:c>
      <x:c r="F472" s="5" t="str">
        <x:v>Momentum / trend</x:v>
      </x:c>
      <x:c r="G472" s="6" t="n">
        <x:v>87240</x:v>
      </x:c>
      <x:c r="H472" s="4" t="str">
        <x:v>High</x:v>
      </x:c>
      <x:c r="I472" s="4" t="str">
        <x:v>Fee based</x:v>
      </x:c>
      <x:c r="J472" s="6" t="n">
        <x:v>1000</x:v>
      </x:c>
      <x:c r="K472" s="5" t="str">
        <x:v>The SE Momentum Nifty 200 Top 10 is designed as an all-weather portfolio that thrives across market</x:v>
      </x:c>
      <x:c r="L472" s="5" t="str">
        <x:v>No sector tags assigned; see description</x:v>
      </x:c>
      <x:c r="M472" s="7" t="d">
        <x:v>2026-07-27T00:00:00.000Z</x:v>
      </x:c>
      <x:c r="N472" s="8" t="str">
        <x:v>https://www.smallcase.com/smallcase/se-momentum-nifty-200-top-10-model-SEPKMX_0003</x:v>
      </x:c>
      <x:c r="O472" s="4" t="str">
        <x:v>SEPKMX_0003</x:v>
      </x:c>
      <x:c r="P472" s="5" t="str">
        <x:v>Diversified; sector mandate not specified</x:v>
      </x:c>
    </x:row>
    <x:row r="473" ht="60" customHeight="1">
      <x:c r="A473" s="4" t="n">
        <x:v>474</x:v>
      </x:c>
      <x:c r="B473" s="5" t="str">
        <x:v>SE ETF Dynamic Wealth Asset Allocation</x:v>
      </x:c>
      <x:c r="C473" s="5" t="str">
        <x:v>StockEdge</x:v>
      </x:c>
      <x:c r="D473" s="5" t="str">
        <x:v>Asset allocation / target date</x:v>
      </x:c>
      <x:c r="E473" s="5" t="str">
        <x:v>No specific industry mandate identified</x:v>
      </x:c>
      <x:c r="F473" s="5" t="str">
        <x:v>Asset allocation</x:v>
      </x:c>
      <x:c r="G473" s="6" t="n">
        <x:v>1538</x:v>
      </x:c>
      <x:c r="H473" s="4" t="str">
        <x:v>Low</x:v>
      </x:c>
      <x:c r="I473" s="4" t="str">
        <x:v>Fee based</x:v>
      </x:c>
      <x:c r="J473" s="6" t="n">
        <x:v>250</x:v>
      </x:c>
      <x:c r="K473" s="5" t="str">
        <x:v>A momentum driven ETF portfolio that dynamically adapts to market cycles for smarter wealth creation</x:v>
      </x:c>
      <x:c r="L473" s="5" t="str">
        <x:v>No sector tags assigned; see description</x:v>
      </x:c>
      <x:c r="M473" s="7" t="d">
        <x:v>2026-07-27T00:00:00.000Z</x:v>
      </x:c>
      <x:c r="N473" s="8" t="str">
        <x:v>https://www.smallcase.com/smallcase/se-etf-dynamic-wealth-asset-allocation-SEPKAA_0001</x:v>
      </x:c>
      <x:c r="O473" s="4" t="str">
        <x:v>SEPKAA_0001</x:v>
      </x:c>
      <x:c r="P473" s="5" t="str">
        <x:v>Asset allocation / target date</x:v>
      </x:c>
    </x:row>
    <x:row r="474" ht="60" customHeight="1">
      <x:c r="A474" s="4" t="n">
        <x:v>475</x:v>
      </x:c>
      <x:c r="B474" s="5" t="str">
        <x:v>GI Defence Titans Theme</x:v>
      </x:c>
      <x:c r="C474" s="5" t="str">
        <x:v>Growth Investing</x:v>
      </x:c>
      <x:c r="D474" s="5" t="str">
        <x:v>Sector / industry theme</x:v>
      </x:c>
      <x:c r="E474" s="5" t="str">
        <x:v>Defence &amp; aerospace</x:v>
      </x:c>
      <x:c r="F474" s="5" t="str">
        <x:v>Fundamental / growth / quality</x:v>
      </x:c>
      <x:c r="G474" s="6" t="n">
        <x:v>2878</x:v>
      </x:c>
      <x:c r="H474" s="4" t="str">
        <x:v>High</x:v>
      </x:c>
      <x:c r="I474" s="4" t="str">
        <x:v>Fee based</x:v>
      </x:c>
      <x:c r="J474" s="6" t="n">
        <x:v>416</x:v>
      </x:c>
      <x:c r="K474" s="5" t="str">
        <x:v>Bharat defense sector: Self-Reliance, Rising Budgets, Export &amp; Long Order books Driving growth.</x:v>
      </x:c>
      <x:c r="L474" s="5" t="str">
        <x:v>Title and listing description</x:v>
      </x:c>
      <x:c r="M474" s="7" t="d">
        <x:v>2026-09-29T00:00:00.000Z</x:v>
      </x:c>
      <x:c r="N474" s="8" t="str">
        <x:v>https://www.smallcase.com/smallcase/gi-defence-titans-theme-GRINNM_0001</x:v>
      </x:c>
      <x:c r="O474" s="4" t="str">
        <x:v>GRINNM_0001</x:v>
      </x:c>
      <x:c r="P474" s="5" t="str"/>
    </x:row>
    <x:row r="475" ht="60" customHeight="1">
      <x:c r="A475" s="4" t="n">
        <x:v>476</x:v>
      </x:c>
      <x:c r="B475" s="5" t="str">
        <x:v>GI Theme Rotation - The Big Idea Theme</x:v>
      </x:c>
      <x:c r="C475" s="5" t="str">
        <x:v>Growth Investing</x:v>
      </x:c>
      <x:c r="D475" s="5" t="str">
        <x:v>Sector / theme rotation</x:v>
      </x:c>
      <x:c r="E475" s="5" t="str">
        <x:v>No specific industry mandate identified</x:v>
      </x:c>
      <x:c r="F475" s="5" t="str">
        <x:v>Sector / theme rotation</x:v>
      </x:c>
      <x:c r="G475" s="6" t="n">
        <x:v>2878</x:v>
      </x:c>
      <x:c r="H475" s="4" t="str">
        <x:v>Medium</x:v>
      </x:c>
      <x:c r="I475" s="4" t="str">
        <x:v>Fee based</x:v>
      </x:c>
      <x:c r="J475" s="6" t="n">
        <x:v>833</x:v>
      </x:c>
      <x:c r="K475" s="5" t="str">
        <x:v>Don’t chase yesterday’s winners. Own tomorrow’s leaders. Markets move in cycles → leadership changes</x:v>
      </x:c>
      <x:c r="L475" s="5" t="str">
        <x:v>No sector tags assigned; see description</x:v>
      </x:c>
      <x:c r="M475" s="7" t="d">
        <x:v>2026-09-29T00:00:00.000Z</x:v>
      </x:c>
      <x:c r="N475" s="8" t="str">
        <x:v>https://www.smallcase.com/smallcase/gi-theme-rotation:-the-big-idea-theme-GRINNM_0002</x:v>
      </x:c>
      <x:c r="O475" s="4" t="str">
        <x:v>GRINNM_0002</x:v>
      </x:c>
      <x:c r="P475" s="5" t="str">
        <x:v>Sector / theme rotation</x:v>
      </x:c>
    </x:row>
    <x:row r="476" ht="60" customHeight="1">
      <x:c r="A476" s="4" t="n">
        <x:v>477</x:v>
      </x:c>
      <x:c r="B476" s="5" t="str">
        <x:v>GI Alpha Focus Relative Strength Model</x:v>
      </x:c>
      <x:c r="C476" s="5" t="str">
        <x:v>Growth Investing</x:v>
      </x:c>
      <x:c r="D476" s="5" t="str">
        <x:v>Diversified / strategy</x:v>
      </x:c>
      <x:c r="E476" s="5" t="str">
        <x:v>No specific industry mandate identified</x:v>
      </x:c>
      <x:c r="F476" s="5" t="str">
        <x:v>Momentum / trend</x:v>
      </x:c>
      <x:c r="G476" s="6" t="n">
        <x:v>2878</x:v>
      </x:c>
      <x:c r="H476" s="4" t="str">
        <x:v>High</x:v>
      </x:c>
      <x:c r="I476" s="4" t="str">
        <x:v>Fee based</x:v>
      </x:c>
      <x:c r="J476" s="6" t="n">
        <x:v>350</x:v>
      </x:c>
      <x:c r="K476" s="5" t="str">
        <x:v>Alpha doesn’t wait. Get in early with a system that spots leaders before the market does.</x:v>
      </x:c>
      <x:c r="L476" s="5" t="str">
        <x:v>No sector tags assigned; see description</x:v>
      </x:c>
      <x:c r="M476" s="7" t="d">
        <x:v>2026-09-29T00:00:00.000Z</x:v>
      </x:c>
      <x:c r="N476" s="8" t="str">
        <x:v>https://www.smallcase.com/smallcase/gi-alpha-focus-relative-strength-model-GRINFAM_0001</x:v>
      </x:c>
      <x:c r="O476" s="4" t="str">
        <x:v>GRINFAM_0001</x:v>
      </x:c>
      <x:c r="P476" s="5" t="str">
        <x:v>Diversified; sector mandate not specified</x:v>
      </x:c>
    </x:row>
    <x:row r="477" ht="60" customHeight="1">
      <x:c r="A477" s="4" t="n">
        <x:v>478</x:v>
      </x:c>
      <x:c r="B477" s="5" t="str">
        <x:v>EVERGREEN FF - Dynamic Asset Allocation</x:v>
      </x:c>
      <x:c r="C477" s="5" t="str">
        <x:v>Modulor Capital</x:v>
      </x:c>
      <x:c r="D477" s="5" t="str">
        <x:v>Asset allocation / target date</x:v>
      </x:c>
      <x:c r="E477" s="5" t="str">
        <x:v>No specific industry mandate identified</x:v>
      </x:c>
      <x:c r="F477" s="5" t="str">
        <x:v>Asset allocation</x:v>
      </x:c>
      <x:c r="G477" s="6" t="n">
        <x:v>50000</x:v>
      </x:c>
      <x:c r="H477" s="4" t="str">
        <x:v>Medium</x:v>
      </x:c>
      <x:c r="I477" s="4" t="str">
        <x:v>Fee based</x:v>
      </x:c>
      <x:c r="J477" s="6" t="n">
        <x:v>2091</x:v>
      </x:c>
      <x:c r="K477" s="5" t="str">
        <x:v>Dynamic Asset Allocation with Tactical Management | Equity-Gold-Debt | For Core Wealth Building</x:v>
      </x:c>
      <x:c r="L477" s="5" t="str">
        <x:v>No sector tags assigned; see description</x:v>
      </x:c>
      <x:c r="M477" s="7" t="d">
        <x:v>2026-10-26T00:00:00.000Z</x:v>
      </x:c>
      <x:c r="N477" s="8" t="str">
        <x:v>https://www.smallcase.com/smallcase/evergreen:-dynamic-asset-allocation-MODAA_0001</x:v>
      </x:c>
      <x:c r="O477" s="4" t="str">
        <x:v>MODAA_0001</x:v>
      </x:c>
      <x:c r="P477" s="5" t="str">
        <x:v>Asset allocation / target date</x:v>
      </x:c>
    </x:row>
    <x:row r="478" ht="60" customHeight="1">
      <x:c r="A478" s="4" t="n">
        <x:v>481</x:v>
      </x:c>
      <x:c r="B478" s="5" t="str">
        <x:v>TARGET FF - Tactical Allocation Model</x:v>
      </x:c>
      <x:c r="C478" s="5" t="str">
        <x:v>Modulor Capital</x:v>
      </x:c>
      <x:c r="D478" s="5" t="str">
        <x:v>Asset allocation / target date</x:v>
      </x:c>
      <x:c r="E478" s="5" t="str">
        <x:v>No specific industry mandate identified</x:v>
      </x:c>
      <x:c r="F478" s="5" t="str">
        <x:v>Asset allocation</x:v>
      </x:c>
      <x:c r="G478" s="6" t="n">
        <x:v>50000</x:v>
      </x:c>
      <x:c r="H478" s="4" t="str">
        <x:v>Low</x:v>
      </x:c>
      <x:c r="I478" s="4" t="str">
        <x:v>Fee based</x:v>
      </x:c>
      <x:c r="J478" s="6" t="n">
        <x:v>2091</x:v>
      </x:c>
      <x:c r="K478" s="5" t="str">
        <x:v>Dynamic Market Cap Allocation with Tactical Management | Equity-Debt | For Core Goal Chasing</x:v>
      </x:c>
      <x:c r="L478" s="5" t="str">
        <x:v>No sector tags assigned; see description</x:v>
      </x:c>
      <x:c r="M478" s="7" t="d">
        <x:v>2026-10-26T00:00:00.000Z</x:v>
      </x:c>
      <x:c r="N478" s="8" t="str">
        <x:v>https://www.smallcase.com/smallcase/target:-tactical-allocation-model-MODMX_0008</x:v>
      </x:c>
      <x:c r="O478" s="4" t="str">
        <x:v>MODMX_0008</x:v>
      </x:c>
      <x:c r="P478" s="5" t="str">
        <x:v>Asset allocation / target date</x:v>
      </x:c>
    </x:row>
    <x:row r="479" ht="60" customHeight="1">
      <x:c r="A479" s="4" t="n">
        <x:v>482</x:v>
      </x:c>
      <x:c r="B479" s="5" t="str">
        <x:v>GI Healthcare Tracker</x:v>
      </x:c>
      <x:c r="C479" s="5" t="str">
        <x:v>Growth Investing</x:v>
      </x:c>
      <x:c r="D479" s="5" t="str">
        <x:v>Sector / industry theme</x:v>
      </x:c>
      <x:c r="E479" s="5" t="str">
        <x:v>Pharma &amp; healthcare</x:v>
      </x:c>
      <x:c r="F479" s="5" t="str">
        <x:v>Other / not specified</x:v>
      </x:c>
      <x:c r="G479" s="6" t="n">
        <x:v>2878</x:v>
      </x:c>
      <x:c r="H479" s="4" t="str">
        <x:v>Medium</x:v>
      </x:c>
      <x:c r="I479" s="4" t="str">
        <x:v>Fee based</x:v>
      </x:c>
      <x:c r="J479" s="6" t="n">
        <x:v>437</x:v>
      </x:c>
      <x:c r="K479" s="5" t="str">
        <x:v>Healthcare Opportunities Beyond Pharmaceuticals</x:v>
      </x:c>
      <x:c r="L479" s="5" t="str">
        <x:v>Title and listing description</x:v>
      </x:c>
      <x:c r="M479" s="7" t="d">
        <x:v>2026-09-29T00:00:00.000Z</x:v>
      </x:c>
      <x:c r="N479" s="8" t="str">
        <x:v>https://www.smallcase.com/smallcase/gi-healthcare-theme-GRINNM_0003</x:v>
      </x:c>
      <x:c r="O479" s="4" t="str">
        <x:v>GRINNM_0003</x:v>
      </x:c>
      <x:c r="P479" s="5" t="str"/>
    </x:row>
    <x:row r="480" ht="60" customHeight="1">
      <x:c r="A480" s="4" t="n">
        <x:v>483</x:v>
      </x:c>
      <x:c r="B480" s="5" t="str">
        <x:v>EquiBoost Ethical Theme</x:v>
      </x:c>
      <x:c r="C480" s="5" t="str">
        <x:v>Equiboost Finserv Private Limited</x:v>
      </x:c>
      <x:c r="D480" s="5" t="str">
        <x:v>Ethical / ESG screen</x:v>
      </x:c>
      <x:c r="E480" s="5" t="str">
        <x:v>No specific industry mandate identified</x:v>
      </x:c>
      <x:c r="F480" s="5" t="str">
        <x:v>Ethical / ESG</x:v>
      </x:c>
      <x:c r="G480" s="6" t="n">
        <x:v>24019</x:v>
      </x:c>
      <x:c r="H480" s="4" t="str">
        <x:v>High</x:v>
      </x:c>
      <x:c r="I480" s="4" t="str">
        <x:v>Fee based</x:v>
      </x:c>
      <x:c r="J480" s="6" t="n">
        <x:v>870</x:v>
      </x:c>
      <x:c r="K480" s="5" t="str">
        <x:v>Ethical fund for long-term growth, consciously excluding alcohol, tobacco &amp; animal abuse.</x:v>
      </x:c>
      <x:c r="L480" s="5" t="str">
        <x:v>No sector tags assigned; see description</x:v>
      </x:c>
      <x:c r="M480" s="7" t="d">
        <x:v>2026-09-09T00:00:00.000Z</x:v>
      </x:c>
      <x:c r="N480" s="8" t="str">
        <x:v>https://www.smallcase.com/smallcase/equiboost-ethical-theme-EBFSNM_0001</x:v>
      </x:c>
      <x:c r="O480" s="4" t="str">
        <x:v>EBFSNM_0001</x:v>
      </x:c>
      <x:c r="P480" s="5" t="str">
        <x:v>Ethical / ESG screen</x:v>
      </x:c>
    </x:row>
    <x:row r="481" ht="60" customHeight="1">
      <x:c r="A481" s="4" t="n">
        <x:v>484</x:v>
      </x:c>
      <x:c r="B481" s="5" t="str">
        <x:v>EquiBoost Hidden Gems Fundamental</x:v>
      </x:c>
      <x:c r="C481" s="5" t="str">
        <x:v>Equiboost Finserv Private Limited</x:v>
      </x:c>
      <x:c r="D481" s="5" t="str">
        <x:v>Diversified / strategy</x:v>
      </x:c>
      <x:c r="E481" s="5" t="str">
        <x:v>No specific industry mandate identified</x:v>
      </x:c>
      <x:c r="F481" s="5" t="str">
        <x:v>Fundamental / growth / quality</x:v>
      </x:c>
      <x:c r="G481" s="6" t="n">
        <x:v>1000000</x:v>
      </x:c>
      <x:c r="H481" s="4" t="str">
        <x:v>High</x:v>
      </x:c>
      <x:c r="I481" s="4" t="str">
        <x:v>Fee based</x:v>
      </x:c>
      <x:c r="J481" s="6" t="n">
        <x:v>1737</x:v>
      </x:c>
      <x:c r="K481" s="5" t="str">
        <x:v>Positioned to capture early-stage opportunities in companies with scalable business models.</x:v>
      </x:c>
      <x:c r="L481" s="5" t="str">
        <x:v>No sector tags assigned; see description</x:v>
      </x:c>
      <x:c r="M481" s="7" t="d">
        <x:v>2026-10-19T00:00:00.000Z</x:v>
      </x:c>
      <x:c r="N481" s="8" t="str">
        <x:v>https://www.smallcase.com/smallcase/equiboost-hidden-gems-model-EBFSMX_0002</x:v>
      </x:c>
      <x:c r="O481" s="4" t="str">
        <x:v>EBFSMX_0002</x:v>
      </x:c>
      <x:c r="P481" s="5" t="str">
        <x:v>Diversified; sector mandate not specified</x:v>
      </x:c>
    </x:row>
    <x:row r="482" ht="60" customHeight="1">
      <x:c r="A482" s="4" t="n">
        <x:v>485</x:v>
      </x:c>
      <x:c r="B482" s="5" t="str">
        <x:v>Sunrise Sectors Theme</x:v>
      </x:c>
      <x:c r="C482" s="5" t="str">
        <x:v>Paterson</x:v>
      </x:c>
      <x:c r="D482" s="5" t="str">
        <x:v>Sector / industry theme</x:v>
      </x:c>
      <x:c r="E482" s="5" t="str">
        <x:v>Automobiles, EVs &amp; components; Renewables, clean energy &amp; recycling; IT, software &amp; digital platforms; Financial services &amp; fintech</x:v>
      </x:c>
      <x:c r="F482" s="5" t="str">
        <x:v>Other / not specified</x:v>
      </x:c>
      <x:c r="G482" s="6" t="n">
        <x:v>75200</x:v>
      </x:c>
      <x:c r="H482" s="4" t="str">
        <x:v>High</x:v>
      </x:c>
      <x:c r="I482" s="4" t="str">
        <x:v>Fee based</x:v>
      </x:c>
      <x:c r="J482" s="6" t="n">
        <x:v>625</x:v>
      </x:c>
      <x:c r="K482" s="5" t="str">
        <x:v>Invest in the industries of tomorrow</x:v>
      </x:c>
      <x:c r="L482" s="5" t="str">
        <x:v>Public detail-page investment rationale</x:v>
      </x:c>
      <x:c r="M482" s="7" t="d">
        <x:v>2026-04-21T00:00:00.000Z</x:v>
      </x:c>
      <x:c r="N482" s="8" t="str">
        <x:v>https://www.smallcase.com/smallcase/sunrise-sectors-theme-RUPENM_0017</x:v>
      </x:c>
      <x:c r="O482" s="4" t="str">
        <x:v>RUPENM_0017</x:v>
      </x:c>
      <x:c r="P482" s="5" t="str"/>
    </x:row>
    <x:row r="483" ht="60" customHeight="1">
      <x:c r="A483" s="4" t="n">
        <x:v>486</x:v>
      </x:c>
      <x:c r="B483" s="5" t="str">
        <x:v>CWA Metals Theme</x:v>
      </x:c>
      <x:c r="C483" s="5" t="str">
        <x:v>Compounding Wealth Advisors</x:v>
      </x:c>
      <x:c r="D483" s="5" t="str">
        <x:v>Sector / industry theme</x:v>
      </x:c>
      <x:c r="E483" s="5" t="str">
        <x:v>Metals, mining &amp; minerals</x:v>
      </x:c>
      <x:c r="F483" s="5" t="str">
        <x:v>Other / not specified</x:v>
      </x:c>
      <x:c r="G483" s="6" t="n">
        <x:v>21090</x:v>
      </x:c>
      <x:c r="H483" s="4" t="str">
        <x:v>High</x:v>
      </x:c>
      <x:c r="I483" s="4" t="str">
        <x:v>Fee based</x:v>
      </x:c>
      <x:c r="J483" s="6" t="n">
        <x:v>983</x:v>
      </x:c>
      <x:c r="K483" s="5" t="str">
        <x:v>Systematic Investing in trending and outperforming stocks from the Metals Space. Rcmd amt:5-15 lacs</x:v>
      </x:c>
      <x:c r="L483" s="5" t="str">
        <x:v>Title and listing description</x:v>
      </x:c>
      <x:c r="M483" s="7" t="d">
        <x:v>2026-10-26T00:00:00.000Z</x:v>
      </x:c>
      <x:c r="N483" s="8" t="str">
        <x:v>https://www.smallcase.com/smallcase/cwa-metals-theme-COWANM_0005</x:v>
      </x:c>
      <x:c r="O483" s="4" t="str">
        <x:v>COWANM_0005</x:v>
      </x:c>
      <x:c r="P483" s="5" t="str"/>
    </x:row>
    <x:row r="484" ht="60" customHeight="1">
      <x:c r="A484" s="4" t="n">
        <x:v>487</x:v>
      </x:c>
      <x:c r="B484" s="5" t="str">
        <x:v>High Growth Emerging Leaders Fundamental</x:v>
      </x:c>
      <x:c r="C484" s="5" t="str">
        <x:v>Ethical Advisers</x:v>
      </x:c>
      <x:c r="D484" s="5" t="str">
        <x:v>Diversified / strategy</x:v>
      </x:c>
      <x:c r="E484" s="5" t="str">
        <x:v>No specific industry mandate identified</x:v>
      </x:c>
      <x:c r="F484" s="5" t="str">
        <x:v>Fundamental / growth / quality</x:v>
      </x:c>
      <x:c r="G484" s="6" t="n">
        <x:v>88312</x:v>
      </x:c>
      <x:c r="H484" s="4" t="str">
        <x:v>High</x:v>
      </x:c>
      <x:c r="I484" s="4" t="str">
        <x:v>Fee based</x:v>
      </x:c>
      <x:c r="J484" s="6" t="n">
        <x:v>583</x:v>
      </x:c>
      <x:c r="K484" s="5" t="str">
        <x:v>Identifying future winners based on fundamentals</x:v>
      </x:c>
      <x:c r="L484" s="5" t="str">
        <x:v>No sector tags assigned; see description</x:v>
      </x:c>
      <x:c r="M484" s="7" t="d">
        <x:v>2026-08-24T00:00:00.000Z</x:v>
      </x:c>
      <x:c r="N484" s="8" t="str">
        <x:v>https://www.smallcase.com/smallcase/high-growth-emerging-leaders-theme-EHANM_0022</x:v>
      </x:c>
      <x:c r="O484" s="4" t="str">
        <x:v>EHANM_0022</x:v>
      </x:c>
      <x:c r="P484" s="5" t="str">
        <x:v>Diversified; sector mandate not specified</x:v>
      </x:c>
    </x:row>
    <x:row r="485" ht="60" customHeight="1">
      <x:c r="A485" s="4" t="n">
        <x:v>488</x:v>
      </x:c>
      <x:c r="B485" s="5" t="str">
        <x:v>Global Allocator Model</x:v>
      </x:c>
      <x:c r="C485" s="5" t="str">
        <x:v>INVEST4EDU PRIVATE LIMITED</x:v>
      </x:c>
      <x:c r="D485" s="5" t="str">
        <x:v>Asset allocation / target date</x:v>
      </x:c>
      <x:c r="E485" s="5" t="str">
        <x:v>No specific industry mandate identified</x:v>
      </x:c>
      <x:c r="F485" s="5" t="str">
        <x:v>Asset allocation</x:v>
      </x:c>
      <x:c r="G485" s="6" t="n">
        <x:v>7383</x:v>
      </x:c>
      <x:c r="H485" s="4" t="str">
        <x:v>High</x:v>
      </x:c>
      <x:c r="I485" s="4" t="str">
        <x:v>Fee based</x:v>
      </x:c>
      <x:c r="J485" s="6" t="n">
        <x:v>737</x:v>
      </x:c>
      <x:c r="K485" s="5" t="str">
        <x:v>Global Allocator reflects balance, resilience &amp; opportunity, built to be your all-weather strategy.</x:v>
      </x:c>
      <x:c r="L485" s="5" t="str">
        <x:v>No sector tags assigned; see description</x:v>
      </x:c>
      <x:c r="M485" s="7" t="d">
        <x:v>2026-06-16T00:00:00.000Z</x:v>
      </x:c>
      <x:c r="N485" s="8" t="str">
        <x:v>https://www.smallcase.com/smallcase/global-allocator-model-IEDUMX_0001</x:v>
      </x:c>
      <x:c r="O485" s="4" t="str">
        <x:v>IEDUMX_0001</x:v>
      </x:c>
      <x:c r="P485" s="5" t="str">
        <x:v>Asset allocation / target date</x:v>
      </x:c>
    </x:row>
    <x:row r="486" ht="60" customHeight="1">
      <x:c r="A486" s="4" t="n">
        <x:v>489</x:v>
      </x:c>
      <x:c r="B486" s="5" t="str">
        <x:v>FINZ Stable Basket Model</x:v>
      </x:c>
      <x:c r="C486" s="5" t="str">
        <x:v>Finkhoz Roboadvisory Services Private Limited</x:v>
      </x:c>
      <x:c r="D486" s="5" t="str">
        <x:v>Sector / theme rotation</x:v>
      </x:c>
      <x:c r="E486" s="5" t="str">
        <x:v>No specific industry mandate identified</x:v>
      </x:c>
      <x:c r="F486" s="5" t="str">
        <x:v>Sector / theme rotation</x:v>
      </x:c>
      <x:c r="G486" s="6" t="n">
        <x:v>65819</x:v>
      </x:c>
      <x:c r="H486" s="4" t="str">
        <x:v>High</x:v>
      </x:c>
      <x:c r="I486" s="4" t="str">
        <x:v>Fee based</x:v>
      </x:c>
      <x:c r="J486" s="6" t="n">
        <x:v>416</x:v>
      </x:c>
      <x:c r="K486" s="5" t="str">
        <x:v>Quant-based portfolio focused on quality and sector momentum, aiming to deliver 2x benchmark returns</x:v>
      </x:c>
      <x:c r="L486" s="5" t="str">
        <x:v>No sector tags assigned; see description</x:v>
      </x:c>
      <x:c r="M486" s="7" t="d">
        <x:v>2026-10-13T00:00:00.000Z</x:v>
      </x:c>
      <x:c r="N486" s="8" t="str">
        <x:v>https://www.smallcase.com/smallcase/finz-stable-basket-quant-FIROQM_0001</x:v>
      </x:c>
      <x:c r="O486" s="4" t="str">
        <x:v>FIROQM_0001</x:v>
      </x:c>
      <x:c r="P486" s="5" t="str">
        <x:v>Sector / theme rotation</x:v>
      </x:c>
    </x:row>
    <x:row r="487" ht="60" customHeight="1">
      <x:c r="A487" s="4" t="n">
        <x:v>490</x:v>
      </x:c>
      <x:c r="B487" s="5" t="str">
        <x:v>FINZ Wealth Compounder Basket Model</x:v>
      </x:c>
      <x:c r="C487" s="5" t="str">
        <x:v>Finkhoz Roboadvisory Services Private Limited</x:v>
      </x:c>
      <x:c r="D487" s="5" t="str">
        <x:v>Diversified / strategy</x:v>
      </x:c>
      <x:c r="E487" s="5" t="str">
        <x:v>No specific industry mandate identified</x:v>
      </x:c>
      <x:c r="F487" s="5" t="str">
        <x:v>Quant / factor</x:v>
      </x:c>
      <x:c r="G487" s="6" t="n">
        <x:v>123508</x:v>
      </x:c>
      <x:c r="H487" s="4" t="str">
        <x:v>High</x:v>
      </x:c>
      <x:c r="I487" s="4" t="str">
        <x:v>Fee based</x:v>
      </x:c>
      <x:c r="J487" s="6" t="n">
        <x:v>416</x:v>
      </x:c>
      <x:c r="K487" s="5" t="str">
        <x:v>A research-backed basket of high-growth small &amp; midcap gems powered by the FINKHOZ quant framework.</x:v>
      </x:c>
      <x:c r="L487" s="5" t="str">
        <x:v>No sector tags assigned; see description</x:v>
      </x:c>
      <x:c r="M487" s="7" t="d">
        <x:v>2026-10-28T00:00:00.000Z</x:v>
      </x:c>
      <x:c r="N487" s="8" t="str">
        <x:v>https://www.smallcase.com/smallcase/finz-wealth-compounder-basket-quant-FIROQM_0002</x:v>
      </x:c>
      <x:c r="O487" s="4" t="str">
        <x:v>FIROQM_0002</x:v>
      </x:c>
      <x:c r="P487" s="5" t="str">
        <x:v>Diversified; sector mandate not specified</x:v>
      </x:c>
    </x:row>
    <x:row r="488" ht="60" customHeight="1">
      <x:c r="A488" s="4" t="n">
        <x:v>491</x:v>
      </x:c>
      <x:c r="B488" s="5" t="str">
        <x:v>FINZ Dividend Basket Income Model</x:v>
      </x:c>
      <x:c r="C488" s="5" t="str">
        <x:v>Finkhoz Roboadvisory Services Private Limited</x:v>
      </x:c>
      <x:c r="D488" s="5" t="str">
        <x:v>Diversified / strategy</x:v>
      </x:c>
      <x:c r="E488" s="5" t="str">
        <x:v>No specific industry mandate identified</x:v>
      </x:c>
      <x:c r="F488" s="5" t="str">
        <x:v>Dividend / income</x:v>
      </x:c>
      <x:c r="G488" s="6" t="n">
        <x:v>6617</x:v>
      </x:c>
      <x:c r="H488" s="4" t="str">
        <x:v>High</x:v>
      </x:c>
      <x:c r="I488" s="4" t="str">
        <x:v>Fee based</x:v>
      </x:c>
      <x:c r="J488" s="6" t="n">
        <x:v>416</x:v>
      </x:c>
      <x:c r="K488" s="5" t="str">
        <x:v>A portfolio of high-quality dividend-paying companies designed to generate consistent income.</x:v>
      </x:c>
      <x:c r="L488" s="5" t="str">
        <x:v>No sector tags assigned; see description</x:v>
      </x:c>
      <x:c r="M488" s="7" t="d">
        <x:v>2026-10-08T00:00:00.000Z</x:v>
      </x:c>
      <x:c r="N488" s="8" t="str">
        <x:v>https://www.smallcase.com/smallcase/finz-dividend-basket-theme-FIRONM_0001</x:v>
      </x:c>
      <x:c r="O488" s="4" t="str">
        <x:v>FIRONM_0001</x:v>
      </x:c>
      <x:c r="P488" s="5" t="str">
        <x:v>Diversified; sector mandate not specified</x:v>
      </x:c>
    </x:row>
    <x:row r="489" ht="60" customHeight="1">
      <x:c r="A489" s="4" t="n">
        <x:v>492</x:v>
      </x:c>
      <x:c r="B489" s="5" t="str">
        <x:v>FINZ Value Beacon Model</x:v>
      </x:c>
      <x:c r="C489" s="5" t="str">
        <x:v>Finkhoz Roboadvisory Services Private Limited</x:v>
      </x:c>
      <x:c r="D489" s="5" t="str">
        <x:v>Diversified / strategy</x:v>
      </x:c>
      <x:c r="E489" s="5" t="str">
        <x:v>No specific industry mandate identified</x:v>
      </x:c>
      <x:c r="F489" s="5" t="str">
        <x:v>Momentum / trend</x:v>
      </x:c>
      <x:c r="G489" s="6" t="n">
        <x:v>61715</x:v>
      </x:c>
      <x:c r="H489" s="4" t="str">
        <x:v>High</x:v>
      </x:c>
      <x:c r="I489" s="4" t="str">
        <x:v>Fee based</x:v>
      </x:c>
      <x:c r="J489" s="6" t="n">
        <x:v>416</x:v>
      </x:c>
      <x:c r="K489" s="5" t="str">
        <x:v>The Momentum Basket is a fully rule-based, trend-following portfolio designed to capture trend</x:v>
      </x:c>
      <x:c r="L489" s="5" t="str">
        <x:v>No sector tags assigned; see description</x:v>
      </x:c>
      <x:c r="M489" s="7" t="d">
        <x:v>2026-10-07T00:00:00.000Z</x:v>
      </x:c>
      <x:c r="N489" s="8" t="str">
        <x:v>https://www.smallcase.com/smallcase/finz-vb-momentum-quant-FIROQM_0004</x:v>
      </x:c>
      <x:c r="O489" s="4" t="str">
        <x:v>FIROQM_0004</x:v>
      </x:c>
      <x:c r="P489" s="5" t="str">
        <x:v>Diversified; sector mandate not specified</x:v>
      </x:c>
    </x:row>
    <x:row r="490" ht="60" customHeight="1">
      <x:c r="A490" s="4" t="n">
        <x:v>493</x:v>
      </x:c>
      <x:c r="B490" s="5" t="str">
        <x:v>Viksit Vision Theme</x:v>
      </x:c>
      <x:c r="C490" s="5" t="str">
        <x:v>INVEST4EDU PRIVATE LIMITED</x:v>
      </x:c>
      <x:c r="D490" s="5" t="str">
        <x:v>Sector / industry theme</x:v>
      </x:c>
      <x:c r="E490" s="5" t="str">
        <x:v>Manufacturing &amp; industrials; IT, software &amp; digital platforms; Infrastructure &amp; construction; Capital markets &amp; wealth management</x:v>
      </x:c>
      <x:c r="F490" s="5" t="str">
        <x:v>Fundamental / growth / quality</x:v>
      </x:c>
      <x:c r="G490" s="6" t="n">
        <x:v>83396</x:v>
      </x:c>
      <x:c r="H490" s="4" t="str">
        <x:v>High</x:v>
      </x:c>
      <x:c r="I490" s="4" t="str">
        <x:v>Fee based</x:v>
      </x:c>
      <x:c r="J490" s="6" t="n">
        <x:v>1966</x:v>
      </x:c>
      <x:c r="K490" s="5" t="str">
        <x:v>Viksit Vision Basket, your gateway to India’s growth journey.</x:v>
      </x:c>
      <x:c r="L490" s="5" t="str">
        <x:v>Public detail-page investment rationale</x:v>
      </x:c>
      <x:c r="M490" s="7" t="d">
        <x:v>2026-09-15T00:00:00.000Z</x:v>
      </x:c>
      <x:c r="N490" s="8" t="str">
        <x:v>https://www.smallcase.com/smallcase/viksit-vision-theme-IEDUNM_0001</x:v>
      </x:c>
      <x:c r="O490" s="4" t="str">
        <x:v>IEDUNM_0001</x:v>
      </x:c>
      <x:c r="P490" s="5" t="str"/>
    </x:row>
    <x:row r="491" ht="60" customHeight="1">
      <x:c r="A491" s="4" t="n">
        <x:v>494</x:v>
      </x:c>
      <x:c r="B491" s="5" t="str">
        <x:v>Fortune 2030 Adaptive Alpha Asset Allocation</x:v>
      </x:c>
      <x:c r="C491" s="5" t="str">
        <x:v>Divitiae Investments</x:v>
      </x:c>
      <x:c r="D491" s="5" t="str">
        <x:v>Asset allocation / target date</x:v>
      </x:c>
      <x:c r="E491" s="5" t="str">
        <x:v>No specific industry mandate identified</x:v>
      </x:c>
      <x:c r="F491" s="5" t="str">
        <x:v>Asset allocation</x:v>
      </x:c>
      <x:c r="G491" s="6" t="n">
        <x:v>52285</x:v>
      </x:c>
      <x:c r="H491" s="4" t="str">
        <x:v>High</x:v>
      </x:c>
      <x:c r="I491" s="4" t="str">
        <x:v>Fee based</x:v>
      </x:c>
      <x:c r="J491" s="6" t="n">
        <x:v>833</x:v>
      </x:c>
      <x:c r="K491" s="5" t="str">
        <x:v>Mid/Small Caps emerging winners balanced with ETFs (India and Global) and Precious Metals.</x:v>
      </x:c>
      <x:c r="L491" s="5" t="str">
        <x:v>No sector tags assigned; see description</x:v>
      </x:c>
      <x:c r="M491" s="7" t="d">
        <x:v>2026-10-23T00:00:00.000Z</x:v>
      </x:c>
      <x:c r="N491" s="8" t="str">
        <x:v>https://www.smallcase.com/smallcase/fortune-2030-adaptive-alpha-fundamental-DIANFMM_0001</x:v>
      </x:c>
      <x:c r="O491" s="4" t="str">
        <x:v>DIANFMM_0001</x:v>
      </x:c>
      <x:c r="P491" s="5" t="str">
        <x:v>Asset allocation / target date</x:v>
      </x:c>
    </x:row>
    <x:row r="492" ht="60" customHeight="1">
      <x:c r="A492" s="4" t="n">
        <x:v>495</x:v>
      </x:c>
      <x:c r="B492" s="5" t="str">
        <x:v>Finpire Strategic Defence Theme</x:v>
      </x:c>
      <x:c r="C492" s="5" t="str">
        <x:v>FINPIRE Capital Research</x:v>
      </x:c>
      <x:c r="D492" s="5" t="str">
        <x:v>Sector / industry theme</x:v>
      </x:c>
      <x:c r="E492" s="5" t="str">
        <x:v>Defence &amp; aerospace</x:v>
      </x:c>
      <x:c r="F492" s="5" t="str">
        <x:v>Other / not specified</x:v>
      </x:c>
      <x:c r="G492" s="6" t="n">
        <x:v>41152</x:v>
      </x:c>
      <x:c r="H492" s="4" t="str">
        <x:v>High</x:v>
      </x:c>
      <x:c r="I492" s="4" t="str">
        <x:v>Fee based</x:v>
      </x:c>
      <x:c r="J492" s="6" t="n">
        <x:v>885</x:v>
      </x:c>
      <x:c r="K492" s="5" t="str">
        <x:v>A thematic portfolio investing in select Indian defence manufacturers and allied companies.</x:v>
      </x:c>
      <x:c r="L492" s="5" t="str">
        <x:v>Title and listing description</x:v>
      </x:c>
      <x:c r="M492" s="7" t="d">
        <x:v>2026-06-17T00:00:00.000Z</x:v>
      </x:c>
      <x:c r="N492" s="8" t="str">
        <x:v>https://www.smallcase.com/smallcase/finpire-strategic-defence-theme-FIINNM_0003</x:v>
      </x:c>
      <x:c r="O492" s="4" t="str">
        <x:v>FIINNM_0003</x:v>
      </x:c>
      <x:c r="P492" s="5" t="str"/>
    </x:row>
    <x:row r="493" ht="60" customHeight="1">
      <x:c r="A493" s="4" t="n">
        <x:v>496</x:v>
      </x:c>
      <x:c r="B493" s="5" t="str">
        <x:v>Dividend Yield and Growth Basket Model</x:v>
      </x:c>
      <x:c r="C493" s="5" t="str">
        <x:v>KamayaKya</x:v>
      </x:c>
      <x:c r="D493" s="5" t="str">
        <x:v>Diversified / strategy</x:v>
      </x:c>
      <x:c r="E493" s="5" t="str">
        <x:v>No specific industry mandate identified</x:v>
      </x:c>
      <x:c r="F493" s="5" t="str">
        <x:v>Dividend / income</x:v>
      </x:c>
      <x:c r="G493" s="6" t="n">
        <x:v>50000</x:v>
      </x:c>
      <x:c r="H493" s="4" t="str">
        <x:v>High</x:v>
      </x:c>
      <x:c r="I493" s="4" t="str">
        <x:v>Fee based</x:v>
      </x:c>
      <x:c r="J493" s="6" t="n">
        <x:v>520</x:v>
      </x:c>
      <x:c r="K493" s="5" t="str">
        <x:v>Steady dividend income paired with growth-oriented stocks for capital appreciation.</x:v>
      </x:c>
      <x:c r="L493" s="5" t="str">
        <x:v>No sector tags assigned; see description</x:v>
      </x:c>
      <x:c r="M493" s="7" t="d">
        <x:v>2026-08-17T00:00:00.000Z</x:v>
      </x:c>
      <x:c r="N493" s="8" t="str">
        <x:v>https://www.smallcase.com/smallcase/dividend-yield-and-growth-basket-fundamental-KAKYFMM_0002</x:v>
      </x:c>
      <x:c r="O493" s="4" t="str">
        <x:v>KAKYFMM_0002</x:v>
      </x:c>
      <x:c r="P493" s="5" t="str">
        <x:v>Diversified; sector mandate not specified</x:v>
      </x:c>
    </x:row>
    <x:row r="494" ht="60" customHeight="1">
      <x:c r="A494" s="4" t="n">
        <x:v>497</x:v>
      </x:c>
      <x:c r="B494" s="5" t="str">
        <x:v>Finpire Smart ETF Asset Allocation</x:v>
      </x:c>
      <x:c r="C494" s="5" t="str">
        <x:v>FINPIRE Capital Research</x:v>
      </x:c>
      <x:c r="D494" s="5" t="str">
        <x:v>Asset allocation / target date</x:v>
      </x:c>
      <x:c r="E494" s="5" t="str">
        <x:v>No specific industry mandate identified</x:v>
      </x:c>
      <x:c r="F494" s="5" t="str">
        <x:v>Asset allocation</x:v>
      </x:c>
      <x:c r="G494" s="6" t="n">
        <x:v>1195</x:v>
      </x:c>
      <x:c r="H494" s="4" t="str">
        <x:v>Medium</x:v>
      </x:c>
      <x:c r="I494" s="4" t="str">
        <x:v>Fee based</x:v>
      </x:c>
      <x:c r="J494" s="6" t="n">
        <x:v>250</x:v>
      </x:c>
      <x:c r="K494" s="5" t="str">
        <x:v>A rules-based ETF portfolio focused on diversification, efficiency, and adapting to changing markets</x:v>
      </x:c>
      <x:c r="L494" s="5" t="str">
        <x:v>No sector tags assigned; see description</x:v>
      </x:c>
      <x:c r="M494" s="7" t="d">
        <x:v>2026-06-17T00:00:00.000Z</x:v>
      </x:c>
      <x:c r="N494" s="8" t="str">
        <x:v>https://www.smallcase.com/smallcase/finpire-smart-etf-tracker-FIINTR_0001</x:v>
      </x:c>
      <x:c r="O494" s="4" t="str">
        <x:v>FIINTR_0001</x:v>
      </x:c>
      <x:c r="P494" s="5" t="str">
        <x:v>Asset allocation / target date</x:v>
      </x:c>
    </x:row>
    <x:row r="495" ht="60" customHeight="1">
      <x:c r="A495" s="4" t="n">
        <x:v>498</x:v>
      </x:c>
      <x:c r="B495" s="5" t="str">
        <x:v>Horizon 2060 Target Date</x:v>
      </x:c>
      <x:c r="C495" s="5" t="str">
        <x:v>Windmill Capital</x:v>
      </x:c>
      <x:c r="D495" s="5" t="str">
        <x:v>Asset allocation / target date</x:v>
      </x:c>
      <x:c r="E495" s="5" t="str">
        <x:v>No specific industry mandate identified</x:v>
      </x:c>
      <x:c r="F495" s="5" t="str">
        <x:v>Asset allocation</x:v>
      </x:c>
      <x:c r="G495" s="6" t="n">
        <x:v>13396</x:v>
      </x:c>
      <x:c r="H495" s="4" t="str">
        <x:v>Medium</x:v>
      </x:c>
      <x:c r="I495" s="4" t="str">
        <x:v>Fee based</x:v>
      </x:c>
      <x:c r="J495" s="6" t="n">
        <x:v>120</x:v>
      </x:c>
      <x:c r="K495" s="5" t="str">
        <x:v>Multi-asset portfolio optimizing investment value in 2060, for goals like retirement and education</x:v>
      </x:c>
      <x:c r="L495" s="5" t="str">
        <x:v>No sector tags assigned; see description</x:v>
      </x:c>
      <x:c r="M495" s="7"/>
      <x:c r="N495" s="8" t="str">
        <x:v>https://www.smallcase.com/smallcase/horizon-2060-target-date-SCTD_0001</x:v>
      </x:c>
      <x:c r="O495" s="4" t="str">
        <x:v>SCTD_0001</x:v>
      </x:c>
      <x:c r="P495" s="5" t="str">
        <x:v>Asset allocation / target date</x:v>
      </x:c>
    </x:row>
    <x:row r="496" ht="60" customHeight="1">
      <x:c r="A496" s="4" t="n">
        <x:v>499</x:v>
      </x:c>
      <x:c r="B496" s="5" t="str">
        <x:v>Divitiae Momentum Alpha Drive Quant</x:v>
      </x:c>
      <x:c r="C496" s="5" t="str">
        <x:v>Divitiae Investments</x:v>
      </x:c>
      <x:c r="D496" s="5" t="str">
        <x:v>Diversified / strategy</x:v>
      </x:c>
      <x:c r="E496" s="5" t="str">
        <x:v>No specific industry mandate identified</x:v>
      </x:c>
      <x:c r="F496" s="5" t="str">
        <x:v>Momentum / trend</x:v>
      </x:c>
      <x:c r="G496" s="6" t="n">
        <x:v>85795</x:v>
      </x:c>
      <x:c r="H496" s="4" t="str">
        <x:v>High</x:v>
      </x:c>
      <x:c r="I496" s="4" t="str">
        <x:v>Fee based</x:v>
      </x:c>
      <x:c r="J496" s="6" t="n">
        <x:v>833</x:v>
      </x:c>
      <x:c r="K496" s="5" t="str">
        <x:v>Divitiae Momentum Alpha Drive invests in stocks showing rising strength to generate alpha.</x:v>
      </x:c>
      <x:c r="L496" s="5" t="str">
        <x:v>No sector tags assigned; see description</x:v>
      </x:c>
      <x:c r="M496" s="7" t="d">
        <x:v>2026-10-28T00:00:00.000Z</x:v>
      </x:c>
      <x:c r="N496" s="8" t="str">
        <x:v>https://www.smallcase.com/smallcase/divitiae-momentum-alpha-drive-model-DIANMX_0001</x:v>
      </x:c>
      <x:c r="O496" s="4" t="str">
        <x:v>DIANMX_0001</x:v>
      </x:c>
      <x:c r="P496" s="5" t="str">
        <x:v>Diversified; sector mandate not specified</x:v>
      </x:c>
    </x:row>
    <x:row r="497" ht="60" customHeight="1">
      <x:c r="A497" s="4" t="n">
        <x:v>500</x:v>
      </x:c>
      <x:c r="B497" s="5" t="str">
        <x:v>True Turtles ETF Leaders Quant</x:v>
      </x:c>
      <x:c r="C497" s="5" t="str">
        <x:v>TRUE TURTLES LLP</x:v>
      </x:c>
      <x:c r="D497" s="5" t="str">
        <x:v>Sector / theme rotation</x:v>
      </x:c>
      <x:c r="E497" s="5" t="str">
        <x:v>No specific industry mandate identified</x:v>
      </x:c>
      <x:c r="F497" s="5" t="str">
        <x:v>Sector / theme rotation</x:v>
      </x:c>
      <x:c r="G497" s="6" t="n">
        <x:v>50000</x:v>
      </x:c>
      <x:c r="H497" s="4" t="str">
        <x:v>Medium</x:v>
      </x:c>
      <x:c r="I497" s="4" t="str">
        <x:v>Fee based</x:v>
      </x:c>
      <x:c r="J497" s="6" t="n">
        <x:v>393</x:v>
      </x:c>
      <x:c r="K497" s="5" t="str">
        <x:v>One ETF portfolio to capture the strongest themes shaping markets not just stories.</x:v>
      </x:c>
      <x:c r="L497" s="5" t="str">
        <x:v>No sector tags assigned; see description</x:v>
      </x:c>
      <x:c r="M497" s="7" t="d">
        <x:v>2026-10-27T00:00:00.000Z</x:v>
      </x:c>
      <x:c r="N497" s="8" t="str">
        <x:v>https://www.smallcase.com/smallcase/true-turtles-theme-of-themes-quant-TRTUQM_0001</x:v>
      </x:c>
      <x:c r="O497" s="4" t="str">
        <x:v>TRTUQM_0001</x:v>
      </x:c>
      <x:c r="P497" s="5" t="str">
        <x:v>Sector / theme rotation</x:v>
      </x:c>
    </x:row>
    <x:row r="498" ht="60" customHeight="1">
      <x:c r="A498" s="4" t="n">
        <x:v>501</x:v>
      </x:c>
      <x:c r="B498" s="5" t="str">
        <x:v>CS15 Contrarian Strength Model</x:v>
      </x:c>
      <x:c r="C498" s="5" t="str">
        <x:v>Oleander</x:v>
      </x:c>
      <x:c r="D498" s="5" t="str">
        <x:v>Diversified / strategy</x:v>
      </x:c>
      <x:c r="E498" s="5" t="str">
        <x:v>No specific industry mandate identified</x:v>
      </x:c>
      <x:c r="F498" s="5" t="str">
        <x:v>Value / contrarian</x:v>
      </x:c>
      <x:c r="G498" s="6" t="n">
        <x:v>34077</x:v>
      </x:c>
      <x:c r="H498" s="4" t="str">
        <x:v>High</x:v>
      </x:c>
      <x:c r="I498" s="4" t="str">
        <x:v>Fee based</x:v>
      </x:c>
      <x:c r="J498" s="6" t="n">
        <x:v>983</x:v>
      </x:c>
      <x:c r="K498" s="5" t="str">
        <x:v>Concentrated data-driven portfolio capturing strength in quality companies within unpopular sectors.</x:v>
      </x:c>
      <x:c r="L498" s="5" t="str">
        <x:v>No sector tags assigned; see description</x:v>
      </x:c>
      <x:c r="M498" s="7" t="d">
        <x:v>2026-09-07T00:00:00.000Z</x:v>
      </x:c>
      <x:c r="N498" s="8" t="str">
        <x:v>https://www.smallcase.com/smallcase/cs15-contrarian-strength-model-OLFIMX_0001</x:v>
      </x:c>
      <x:c r="O498" s="4" t="str">
        <x:v>OLFIMX_0001</x:v>
      </x:c>
      <x:c r="P498" s="5" t="str">
        <x:v>Diversified; sector mandate not specified</x:v>
      </x:c>
    </x:row>
    <x:row r="499" ht="60" customHeight="1">
      <x:c r="A499" s="4" t="n">
        <x:v>502</x:v>
      </x:c>
      <x:c r="B499" s="5" t="str">
        <x:v>Quality Growth Value Fundamental</x:v>
      </x:c>
      <x:c r="C499" s="5" t="str">
        <x:v>Oleander</x:v>
      </x:c>
      <x:c r="D499" s="5" t="str">
        <x:v>Diversified / strategy</x:v>
      </x:c>
      <x:c r="E499" s="5" t="str">
        <x:v>No specific industry mandate identified</x:v>
      </x:c>
      <x:c r="F499" s="5" t="str">
        <x:v>Value / contrarian</x:v>
      </x:c>
      <x:c r="G499" s="6" t="n">
        <x:v>33439</x:v>
      </x:c>
      <x:c r="H499" s="4" t="str">
        <x:v>High</x:v>
      </x:c>
      <x:c r="I499" s="4" t="str">
        <x:v>Fee based</x:v>
      </x:c>
      <x:c r="J499" s="6" t="n">
        <x:v>1179</x:v>
      </x:c>
      <x:c r="K499" s="5" t="str">
        <x:v>Fundamental strong business, temporary uncertainty creates valuation comfort, low risk &amp; high growth</x:v>
      </x:c>
      <x:c r="L499" s="5" t="str">
        <x:v>No sector tags assigned; see description</x:v>
      </x:c>
      <x:c r="M499" s="7" t="d">
        <x:v>2026-09-17T00:00:00.000Z</x:v>
      </x:c>
      <x:c r="N499" s="8" t="str">
        <x:v>https://www.smallcase.com/smallcase/quality-growth-value-fundamental-OLFIFMM_0001</x:v>
      </x:c>
      <x:c r="O499" s="4" t="str">
        <x:v>OLFIFMM_0001</x:v>
      </x:c>
      <x:c r="P499" s="5" t="str">
        <x:v>Diversified; sector mandate not specified</x:v>
      </x:c>
    </x:row>
    <x:row r="500" ht="60" customHeight="1">
      <x:c r="A500" s="4" t="n">
        <x:v>503</x:v>
      </x:c>
      <x:c r="B500" s="5" t="str">
        <x:v>CWA Pharma Nextgen Theme</x:v>
      </x:c>
      <x:c r="C500" s="5" t="str">
        <x:v>Compounding Wealth Advisors</x:v>
      </x:c>
      <x:c r="D500" s="5" t="str">
        <x:v>Sector / industry theme</x:v>
      </x:c>
      <x:c r="E500" s="5" t="str">
        <x:v>Pharma &amp; healthcare</x:v>
      </x:c>
      <x:c r="F500" s="5" t="str">
        <x:v>Other / not specified</x:v>
      </x:c>
      <x:c r="G500" s="6" t="n">
        <x:v>239961</x:v>
      </x:c>
      <x:c r="H500" s="4" t="str">
        <x:v>High</x:v>
      </x:c>
      <x:c r="I500" s="4" t="str">
        <x:v>Fee based</x:v>
      </x:c>
      <x:c r="J500" s="6" t="n">
        <x:v>983</x:v>
      </x:c>
      <x:c r="K500" s="5" t="str">
        <x:v>Systematic Investing in outperforming stocks from Pharmaceutical Sector. Recommended amt : 5-15 lacs</x:v>
      </x:c>
      <x:c r="L500" s="5" t="str">
        <x:v>Title and listing description</x:v>
      </x:c>
      <x:c r="M500" s="7" t="d">
        <x:v>2026-10-26T00:00:00.000Z</x:v>
      </x:c>
      <x:c r="N500" s="8" t="str">
        <x:v>https://www.smallcase.com/smallcase/cwa-pharma-nextgen-theme-COWANM_0006</x:v>
      </x:c>
      <x:c r="O500" s="4" t="str">
        <x:v>COWANM_0006</x:v>
      </x:c>
      <x:c r="P500" s="5" t="str"/>
    </x:row>
    <x:row r="501" ht="60" customHeight="1">
      <x:c r="A501" s="4" t="n">
        <x:v>504</x:v>
      </x:c>
      <x:c r="B501" s="5" t="str">
        <x:v>Bharat Tech Infra Tracker</x:v>
      </x:c>
      <x:c r="C501" s="5" t="str">
        <x:v>Green Portfolio</x:v>
      </x:c>
      <x:c r="D501" s="5" t="str">
        <x:v>Sector / industry theme</x:v>
      </x:c>
      <x:c r="E501" s="5" t="str">
        <x:v>AI, data centres &amp; digital infrastructure; IT, software &amp; digital platforms</x:v>
      </x:c>
      <x:c r="F501" s="5" t="str">
        <x:v>Value / contrarian</x:v>
      </x:c>
      <x:c r="G501" s="6" t="n">
        <x:v>170414</x:v>
      </x:c>
      <x:c r="H501" s="4" t="str">
        <x:v>High</x:v>
      </x:c>
      <x:c r="I501" s="4" t="str">
        <x:v>Fee based</x:v>
      </x:c>
      <x:c r="J501" s="6" t="n">
        <x:v>749</x:v>
      </x:c>
      <x:c r="K501" s="5" t="str">
        <x:v>Invest in India’s AI value chain across compute infrastructure, digital networks, and software</x:v>
      </x:c>
      <x:c r="L501" s="5" t="str">
        <x:v>Title and listing description</x:v>
      </x:c>
      <x:c r="M501" s="7" t="d">
        <x:v>2026-06-10T00:00:00.000Z</x:v>
      </x:c>
      <x:c r="N501" s="8" t="str">
        <x:v>https://www.smallcase.com/smallcase/bharat-tech-infra-tracker-GPRTR_0001</x:v>
      </x:c>
      <x:c r="O501" s="4" t="str">
        <x:v>GPRTR_0001</x:v>
      </x:c>
      <x:c r="P501" s="5" t="str"/>
    </x:row>
    <x:row r="502" ht="60" customHeight="1">
      <x:c r="A502" s="4" t="n">
        <x:v>505</x:v>
      </x:c>
      <x:c r="B502" s="5" t="str">
        <x:v>India Oil &amp; Gas Infra Tracker</x:v>
      </x:c>
      <x:c r="C502" s="5" t="str">
        <x:v>Growth Investing</x:v>
      </x:c>
      <x:c r="D502" s="5" t="str">
        <x:v>Sector / industry theme</x:v>
      </x:c>
      <x:c r="E502" s="5" t="str">
        <x:v>Oil &amp; gas</x:v>
      </x:c>
      <x:c r="F502" s="5" t="str">
        <x:v>Value / contrarian</x:v>
      </x:c>
      <x:c r="G502" s="6" t="n">
        <x:v>2878</x:v>
      </x:c>
      <x:c r="H502" s="4" t="str">
        <x:v>Low</x:v>
      </x:c>
      <x:c r="I502" s="4" t="str">
        <x:v>Fee based</x:v>
      </x:c>
      <x:c r="J502" s="6" t="n">
        <x:v>612</x:v>
      </x:c>
      <x:c r="K502" s="5" t="str">
        <x:v>Investing across India’s oil and gas value chain—from exploration &amp; refining to gas infrastructure</x:v>
      </x:c>
      <x:c r="L502" s="5" t="str">
        <x:v>Title and listing description</x:v>
      </x:c>
      <x:c r="M502" s="7" t="d">
        <x:v>2026-10-26T00:00:00.000Z</x:v>
      </x:c>
      <x:c r="N502" s="8" t="str">
        <x:v>https://www.smallcase.com/smallcase/india-oil-and-gas-infra-quant-GRINQM_0005</x:v>
      </x:c>
      <x:c r="O502" s="4" t="str">
        <x:v>GRINQM_0005</x:v>
      </x:c>
      <x:c r="P502" s="5" t="str"/>
    </x:row>
    <x:row r="503" ht="60" customHeight="1">
      <x:c r="A503" s="4" t="n">
        <x:v>506</x:v>
      </x:c>
      <x:c r="B503" s="5" t="str">
        <x:v>GVSR - Largecap Stocks - Value Buys Fundamental</x:v>
      </x:c>
      <x:c r="C503" s="5" t="str">
        <x:v>GVSRwealth</x:v>
      </x:c>
      <x:c r="D503" s="5" t="str">
        <x:v>Diversified / strategy</x:v>
      </x:c>
      <x:c r="E503" s="5" t="str">
        <x:v>No specific industry mandate identified</x:v>
      </x:c>
      <x:c r="F503" s="5" t="str">
        <x:v>Value / contrarian</x:v>
      </x:c>
      <x:c r="G503" s="6" t="n">
        <x:v>54407</x:v>
      </x:c>
      <x:c r="H503" s="4" t="str">
        <x:v>High</x:v>
      </x:c>
      <x:c r="I503" s="4" t="str">
        <x:v>Fee based</x:v>
      </x:c>
      <x:c r="J503" s="6" t="n">
        <x:v>1233</x:v>
      </x:c>
      <x:c r="K503" s="5" t="str">
        <x:v>Value Buys in Largecap : Buy Quality with relatively lower volatility.</x:v>
      </x:c>
      <x:c r="L503" s="5" t="str">
        <x:v>No sector tags assigned; see description</x:v>
      </x:c>
      <x:c r="M503" s="7" t="d">
        <x:v>2026-04-20T00:00:00.000Z</x:v>
      </x:c>
      <x:c r="N503" s="8" t="str">
        <x:v>https://www.smallcase.com/smallcase/gvsr:-largecap-stocks-value-buys-fundamental-GVSRFMM_0001</x:v>
      </x:c>
      <x:c r="O503" s="4" t="str">
        <x:v>GVSRFMM_0001</x:v>
      </x:c>
      <x:c r="P503" s="5" t="str">
        <x:v>Diversified; sector mandate not specified</x:v>
      </x:c>
    </x:row>
    <x:row r="504" ht="60" customHeight="1">
      <x:c r="A504" s="4" t="n">
        <x:v>507</x:v>
      </x:c>
      <x:c r="B504" s="5" t="str">
        <x:v>Bullcapital FinEdge Theme</x:v>
      </x:c>
      <x:c r="C504" s="5" t="str">
        <x:v>Bullcapital</x:v>
      </x:c>
      <x:c r="D504" s="5" t="str">
        <x:v>Sector / industry theme</x:v>
      </x:c>
      <x:c r="E504" s="5" t="str">
        <x:v>Banks &amp; NBFCs</x:v>
      </x:c>
      <x:c r="F504" s="5" t="str">
        <x:v>Fundamental / growth / quality</x:v>
      </x:c>
      <x:c r="G504" s="6" t="n">
        <x:v>77323</x:v>
      </x:c>
      <x:c r="H504" s="4" t="str">
        <x:v>High</x:v>
      </x:c>
      <x:c r="I504" s="4" t="str">
        <x:v>Fee based</x:v>
      </x:c>
      <x:c r="J504" s="6" t="n">
        <x:v>666</x:v>
      </x:c>
      <x:c r="K504" s="5" t="str">
        <x:v>A high conviction portfolio of Banks and NBFCs built for long-term compounding</x:v>
      </x:c>
      <x:c r="L504" s="5" t="str">
        <x:v>Title and listing description</x:v>
      </x:c>
      <x:c r="M504" s="7" t="d">
        <x:v>2026-10-06T00:00:00.000Z</x:v>
      </x:c>
      <x:c r="N504" s="8" t="str">
        <x:v>https://www.smallcase.com/smallcase/core-financial-compounders-tracker-BULCTR_0001</x:v>
      </x:c>
      <x:c r="O504" s="4" t="str">
        <x:v>BULCTR_0001</x:v>
      </x:c>
      <x:c r="P504" s="5" t="str"/>
    </x:row>
    <x:row r="505" ht="60" customHeight="1">
      <x:c r="A505" s="4" t="n">
        <x:v>508</x:v>
      </x:c>
      <x:c r="B505" s="5" t="str">
        <x:v>EquiBoost Metal &amp; Mining Theme</x:v>
      </x:c>
      <x:c r="C505" s="5" t="str">
        <x:v>Equiboost Finserv Private Limited</x:v>
      </x:c>
      <x:c r="D505" s="5" t="str">
        <x:v>Sector / industry theme</x:v>
      </x:c>
      <x:c r="E505" s="5" t="str">
        <x:v>Metals, mining &amp; minerals</x:v>
      </x:c>
      <x:c r="F505" s="5" t="str">
        <x:v>Other / not specified</x:v>
      </x:c>
      <x:c r="G505" s="6" t="n">
        <x:v>11864</x:v>
      </x:c>
      <x:c r="H505" s="4" t="str">
        <x:v>High</x:v>
      </x:c>
      <x:c r="I505" s="4" t="str">
        <x:v>Fee based</x:v>
      </x:c>
      <x:c r="J505" s="6" t="n">
        <x:v>437</x:v>
      </x:c>
      <x:c r="K505" s="5" t="str">
        <x:v>India’s infra push, global supply shifts, and energy transition are driving strong demand for metals</x:v>
      </x:c>
      <x:c r="L505" s="5" t="str">
        <x:v>Title and listing description</x:v>
      </x:c>
      <x:c r="M505" s="7" t="d">
        <x:v>2026-09-09T00:00:00.000Z</x:v>
      </x:c>
      <x:c r="N505" s="8" t="str">
        <x:v>https://www.smallcase.com/smallcase/equiboost-metal-and-mining-theme-EBFSNM_0002</x:v>
      </x:c>
      <x:c r="O505" s="4" t="str">
        <x:v>EBFSNM_0002</x:v>
      </x:c>
      <x:c r="P505" s="5" t="str"/>
    </x:row>
    <x:row r="506" ht="60" customHeight="1">
      <x:c r="A506" s="4" t="n">
        <x:v>509</x:v>
      </x:c>
      <x:c r="B506" s="5" t="str">
        <x:v>EquiBoost Pharma &amp; Healthcare Theme</x:v>
      </x:c>
      <x:c r="C506" s="5" t="str">
        <x:v>Equiboost Finserv Private Limited</x:v>
      </x:c>
      <x:c r="D506" s="5" t="str">
        <x:v>Sector / industry theme</x:v>
      </x:c>
      <x:c r="E506" s="5" t="str">
        <x:v>Pharma &amp; healthcare</x:v>
      </x:c>
      <x:c r="F506" s="5" t="str">
        <x:v>Fundamental / growth / quality</x:v>
      </x:c>
      <x:c r="G506" s="6" t="n">
        <x:v>13408</x:v>
      </x:c>
      <x:c r="H506" s="4" t="str">
        <x:v>High</x:v>
      </x:c>
      <x:c r="I506" s="4" t="str">
        <x:v>Fee based</x:v>
      </x:c>
      <x:c r="J506" s="6" t="n">
        <x:v>437</x:v>
      </x:c>
      <x:c r="K506" s="5" t="str">
        <x:v>Rising demand, generics opportunity &amp; innovation-driven growth make pharma a strong structural sector</x:v>
      </x:c>
      <x:c r="L506" s="5" t="str">
        <x:v>Title and listing description</x:v>
      </x:c>
      <x:c r="M506" s="7" t="d">
        <x:v>2026-06-22T00:00:00.000Z</x:v>
      </x:c>
      <x:c r="N506" s="8" t="str">
        <x:v>https://www.smallcase.com/smallcase/equiboost-pharma-and-healthcare-theme-EBFSNM_0004</x:v>
      </x:c>
      <x:c r="O506" s="4" t="str">
        <x:v>EBFSNM_0004</x:v>
      </x:c>
      <x:c r="P506" s="5" t="str"/>
    </x:row>
    <x:row r="507" ht="60" customHeight="1">
      <x:c r="A507" s="4" t="n">
        <x:v>510</x:v>
      </x:c>
      <x:c r="B507" s="5" t="str">
        <x:v>EquiBoost Public Sector Undertaking - PSU Theme</x:v>
      </x:c>
      <x:c r="C507" s="5" t="str">
        <x:v>Equiboost Finserv Private Limited</x:v>
      </x:c>
      <x:c r="D507" s="5" t="str">
        <x:v>Business group / PSU ownership</x:v>
      </x:c>
      <x:c r="E507" s="5" t="str">
        <x:v>No specific industry mandate identified</x:v>
      </x:c>
      <x:c r="F507" s="5" t="str">
        <x:v>Dividend / income</x:v>
      </x:c>
      <x:c r="G507" s="6" t="n">
        <x:v>11230</x:v>
      </x:c>
      <x:c r="H507" s="4" t="str">
        <x:v>High</x:v>
      </x:c>
      <x:c r="I507" s="4" t="str">
        <x:v>Fee based</x:v>
      </x:c>
      <x:c r="J507" s="6" t="n">
        <x:v>437</x:v>
      </x:c>
      <x:c r="K507" s="5" t="str">
        <x:v>PSU stocks offer growth + dividends backed by strong government support and reforms.</x:v>
      </x:c>
      <x:c r="L507" s="5" t="str">
        <x:v>No sector tags assigned; see description</x:v>
      </x:c>
      <x:c r="M507" s="7" t="d">
        <x:v>2026-08-28T00:00:00.000Z</x:v>
      </x:c>
      <x:c r="N507" s="8" t="str">
        <x:v>https://www.smallcase.com/smallcase/equiboost-public-sector-undertaking-(psu)-theme-EBFSNM_0005</x:v>
      </x:c>
      <x:c r="O507" s="4" t="str">
        <x:v>EBFSNM_0005</x:v>
      </x:c>
      <x:c r="P507" s="5" t="str">
        <x:v>Business group / PSU ownership</x:v>
      </x:c>
    </x:row>
    <x:row r="508" ht="60" customHeight="1">
      <x:c r="A508" s="4" t="n">
        <x:v>511</x:v>
      </x:c>
      <x:c r="B508" s="5" t="str">
        <x:v>EquiBoost PSU Banks &amp; NBFCs Theme</x:v>
      </x:c>
      <x:c r="C508" s="5" t="str">
        <x:v>Equiboost Finserv Private Limited</x:v>
      </x:c>
      <x:c r="D508" s="5" t="str">
        <x:v>Sector / industry theme</x:v>
      </x:c>
      <x:c r="E508" s="5" t="str">
        <x:v>Banks &amp; NBFCs</x:v>
      </x:c>
      <x:c r="F508" s="5" t="str">
        <x:v>Fundamental / growth / quality</x:v>
      </x:c>
      <x:c r="G508" s="6" t="n">
        <x:v>2578</x:v>
      </x:c>
      <x:c r="H508" s="4" t="str">
        <x:v>High</x:v>
      </x:c>
      <x:c r="I508" s="4" t="str">
        <x:v>Fee based</x:v>
      </x:c>
      <x:c r="J508" s="6" t="n">
        <x:v>437</x:v>
      </x:c>
      <x:c r="K508" s="5" t="str">
        <x:v>PSU banks &amp; NBFCs are benefiting from credit growth, improved asset quality &amp; financial stability.</x:v>
      </x:c>
      <x:c r="L508" s="5" t="str">
        <x:v>Title and listing description</x:v>
      </x:c>
      <x:c r="M508" s="7" t="d">
        <x:v>2026-07-24T00:00:00.000Z</x:v>
      </x:c>
      <x:c r="N508" s="8" t="str">
        <x:v>https://www.smallcase.com/smallcase/equiboost-psu-banks-and-nbfcs-theme-EBFSNM_0006</x:v>
      </x:c>
      <x:c r="O508" s="4" t="str">
        <x:v>EBFSNM_0006</x:v>
      </x:c>
      <x:c r="P508" s="5" t="str"/>
    </x:row>
    <x:row r="509" ht="60" customHeight="1">
      <x:c r="A509" s="4" t="n">
        <x:v>512</x:v>
      </x:c>
      <x:c r="B509" s="5" t="str">
        <x:v>Bullcapital Value Select Fundamental</x:v>
      </x:c>
      <x:c r="C509" s="5" t="str">
        <x:v>Bullcapital</x:v>
      </x:c>
      <x:c r="D509" s="5" t="str">
        <x:v>Diversified / strategy</x:v>
      </x:c>
      <x:c r="E509" s="5" t="str">
        <x:v>No specific industry mandate identified</x:v>
      </x:c>
      <x:c r="F509" s="5" t="str">
        <x:v>Value / contrarian</x:v>
      </x:c>
      <x:c r="G509" s="6" t="n">
        <x:v>210274</x:v>
      </x:c>
      <x:c r="H509" s="4" t="str">
        <x:v>High</x:v>
      </x:c>
      <x:c r="I509" s="4" t="str">
        <x:v>Fee based</x:v>
      </x:c>
      <x:c r="J509" s="6" t="n">
        <x:v>749</x:v>
      </x:c>
      <x:c r="K509" s="5" t="str">
        <x:v>High-quality undervalued stocks for long-term growth.</x:v>
      </x:c>
      <x:c r="L509" s="5" t="str">
        <x:v>No sector tags assigned; see description</x:v>
      </x:c>
      <x:c r="M509" s="7" t="d">
        <x:v>2026-07-24T00:00:00.000Z</x:v>
      </x:c>
      <x:c r="N509" s="8" t="str">
        <x:v>https://www.smallcase.com/smallcase/value-select-fundamental-BULCFMM_0002</x:v>
      </x:c>
      <x:c r="O509" s="4" t="str">
        <x:v>BULCFMM_0002</x:v>
      </x:c>
      <x:c r="P509" s="5" t="str">
        <x:v>Diversified; sector mandate not specified</x:v>
      </x:c>
    </x:row>
    <x:row r="510" ht="60" customHeight="1">
      <x:c r="A510" s="4" t="n">
        <x:v>513</x:v>
      </x:c>
      <x:c r="B510" s="5" t="str">
        <x:v>Bullcapital Growth Leaders Fundamental</x:v>
      </x:c>
      <x:c r="C510" s="5" t="str">
        <x:v>Bullcapital</x:v>
      </x:c>
      <x:c r="D510" s="5" t="str">
        <x:v>Diversified / strategy</x:v>
      </x:c>
      <x:c r="E510" s="5" t="str">
        <x:v>No specific industry mandate identified</x:v>
      </x:c>
      <x:c r="F510" s="5" t="str">
        <x:v>Momentum / trend</x:v>
      </x:c>
      <x:c r="G510" s="6" t="n">
        <x:v>170566</x:v>
      </x:c>
      <x:c r="H510" s="4" t="str">
        <x:v>High</x:v>
      </x:c>
      <x:c r="I510" s="4" t="str">
        <x:v>Fee based</x:v>
      </x:c>
      <x:c r="J510" s="6" t="n">
        <x:v>833</x:v>
      </x:c>
      <x:c r="K510" s="5" t="str">
        <x:v>High growth co ( Mostly Large and midcap)with strong earnings momentum and long-term scalability.</x:v>
      </x:c>
      <x:c r="L510" s="5" t="str">
        <x:v>No sector tags assigned; see description</x:v>
      </x:c>
      <x:c r="M510" s="7" t="d">
        <x:v>2026-08-26T00:00:00.000Z</x:v>
      </x:c>
      <x:c r="N510" s="8" t="str">
        <x:v>https://www.smallcase.com/smallcase/nextgen-growth-leaders-fundamental-BULCFMM_0003</x:v>
      </x:c>
      <x:c r="O510" s="4" t="str">
        <x:v>BULCFMM_0003</x:v>
      </x:c>
      <x:c r="P510" s="5" t="str">
        <x:v>Diversified; sector mandate not specified</x:v>
      </x:c>
    </x:row>
    <x:row r="511" ht="60" customHeight="1">
      <x:c r="A511" s="4" t="n">
        <x:v>514</x:v>
      </x:c>
      <x:c r="B511" s="5" t="str">
        <x:v>FINZ Long Term Reema Fundamental</x:v>
      </x:c>
      <x:c r="C511" s="5" t="str">
        <x:v>Finkhoz Roboadvisory Services Private Limited</x:v>
      </x:c>
      <x:c r="D511" s="5" t="str">
        <x:v>Diversified / strategy</x:v>
      </x:c>
      <x:c r="E511" s="5" t="str">
        <x:v>No specific industry mandate identified</x:v>
      </x:c>
      <x:c r="F511" s="5" t="str">
        <x:v>Fundamental / growth / quality</x:v>
      </x:c>
      <x:c r="G511" s="6" t="n">
        <x:v>174002</x:v>
      </x:c>
      <x:c r="H511" s="4" t="str">
        <x:v>High</x:v>
      </x:c>
      <x:c r="I511" s="4" t="str">
        <x:v>Fee based</x:v>
      </x:c>
      <x:c r="J511" s="6" t="n">
        <x:v>2950</x:v>
      </x:c>
      <x:c r="K511" s="5" t="str">
        <x:v>Quality Stocks with long term portfolio of 1-3 Years Timeframe</x:v>
      </x:c>
      <x:c r="L511" s="5" t="str">
        <x:v>No sector tags assigned; see description</x:v>
      </x:c>
      <x:c r="M511" s="7" t="d">
        <x:v>2026-10-14T00:00:00.000Z</x:v>
      </x:c>
      <x:c r="N511" s="8" t="str">
        <x:v>https://www.smallcase.com/smallcase/long-term-reema-fundamental-FIROFMM_0001</x:v>
      </x:c>
      <x:c r="O511" s="4" t="str">
        <x:v>FIROFMM_0001</x:v>
      </x:c>
      <x:c r="P511" s="5" t="str">
        <x:v>Diversified; sector mandate not specified</x:v>
      </x:c>
    </x:row>
    <x:row r="512" ht="60" customHeight="1">
      <x:c r="A512" s="4" t="n">
        <x:v>515</x:v>
      </x:c>
      <x:c r="B512" s="5" t="str">
        <x:v>FINZ Short Term Momentum Reema Fundamental</x:v>
      </x:c>
      <x:c r="C512" s="5" t="str">
        <x:v>Finkhoz Roboadvisory Services Private Limited</x:v>
      </x:c>
      <x:c r="D512" s="5" t="str">
        <x:v>Diversified / strategy</x:v>
      </x:c>
      <x:c r="E512" s="5" t="str">
        <x:v>No specific industry mandate identified</x:v>
      </x:c>
      <x:c r="F512" s="5" t="str">
        <x:v>Momentum / trend</x:v>
      </x:c>
      <x:c r="G512" s="6" t="n">
        <x:v>202749</x:v>
      </x:c>
      <x:c r="H512" s="4" t="str">
        <x:v>High</x:v>
      </x:c>
      <x:c r="I512" s="4" t="str">
        <x:v>Fee based</x:v>
      </x:c>
      <x:c r="J512" s="6" t="n">
        <x:v>2950</x:v>
      </x:c>
      <x:c r="K512" s="5" t="str">
        <x:v>Stocks with 1-3 months Timeframe &amp; are on technical breakout. High risk, high reward</x:v>
      </x:c>
      <x:c r="L512" s="5" t="str">
        <x:v>No sector tags assigned; see description</x:v>
      </x:c>
      <x:c r="M512" s="7" t="d">
        <x:v>2026-10-14T00:00:00.000Z</x:v>
      </x:c>
      <x:c r="N512" s="8" t="str">
        <x:v>https://www.smallcase.com/smallcase/short-term-momentum-reema-smart-beta-FIROSB_0001</x:v>
      </x:c>
      <x:c r="O512" s="4" t="str">
        <x:v>FIROSB_0001</x:v>
      </x:c>
      <x:c r="P512" s="5" t="str">
        <x:v>Diversified; sector mandate not specified</x:v>
      </x:c>
    </x:row>
    <x:row r="513" ht="60" customHeight="1">
      <x:c r="A513" s="4" t="n">
        <x:v>516</x:v>
      </x:c>
      <x:c r="B513" s="5" t="str">
        <x:v>Dividend Advantage Fund Fundamental</x:v>
      </x:c>
      <x:c r="C513" s="5" t="str">
        <x:v>Ethical Advisers</x:v>
      </x:c>
      <x:c r="D513" s="5" t="str">
        <x:v>Diversified / strategy</x:v>
      </x:c>
      <x:c r="E513" s="5" t="str">
        <x:v>No specific industry mandate identified</x:v>
      </x:c>
      <x:c r="F513" s="5" t="str">
        <x:v>Dividend / income</x:v>
      </x:c>
      <x:c r="G513" s="6" t="n">
        <x:v>169937</x:v>
      </x:c>
      <x:c r="H513" s="4" t="str">
        <x:v>High</x:v>
      </x:c>
      <x:c r="I513" s="4" t="str">
        <x:v>Fee based</x:v>
      </x:c>
      <x:c r="J513" s="6" t="n">
        <x:v>625</x:v>
      </x:c>
      <x:c r="K513" s="5" t="str">
        <x:v>A curated portfolio delivering high dividend income and long-term growth.</x:v>
      </x:c>
      <x:c r="L513" s="5" t="str">
        <x:v>No sector tags assigned; see description</x:v>
      </x:c>
      <x:c r="M513" s="7" t="d">
        <x:v>2026-10-21T00:00:00.000Z</x:v>
      </x:c>
      <x:c r="N513" s="8" t="str">
        <x:v>https://www.smallcase.com/smallcase/dividend-advantage-fund-fundamental-EHAFMM_0002</x:v>
      </x:c>
      <x:c r="O513" s="4" t="str">
        <x:v>EHAFMM_0002</x:v>
      </x:c>
      <x:c r="P513" s="5" t="str">
        <x:v>Diversified; sector mandate not specified</x:v>
      </x:c>
    </x:row>
    <x:row r="514" ht="60" customHeight="1">
      <x:c r="A514" s="4" t="n">
        <x:v>517</x:v>
      </x:c>
      <x:c r="B514" s="5" t="str">
        <x:v>Bullcapital Nifty Junior Core 10 Fundamental</x:v>
      </x:c>
      <x:c r="C514" s="5" t="str">
        <x:v>Bullcapital</x:v>
      </x:c>
      <x:c r="D514" s="5" t="str">
        <x:v>Diversified / strategy</x:v>
      </x:c>
      <x:c r="E514" s="5" t="str">
        <x:v>No specific industry mandate identified</x:v>
      </x:c>
      <x:c r="F514" s="5" t="str">
        <x:v>Fundamental / growth / quality</x:v>
      </x:c>
      <x:c r="G514" s="6" t="n">
        <x:v>161162</x:v>
      </x:c>
      <x:c r="H514" s="4" t="str">
        <x:v>High</x:v>
      </x:c>
      <x:c r="I514" s="4" t="str">
        <x:v>Fee based</x:v>
      </x:c>
      <x:c r="J514" s="6" t="n">
        <x:v>833</x:v>
      </x:c>
      <x:c r="K514" s="5" t="str">
        <x:v>A portfolio of 10 stocks of emerging companies from NIFTY NEXT 50</x:v>
      </x:c>
      <x:c r="L514" s="5" t="str">
        <x:v>No sector tags assigned; see description</x:v>
      </x:c>
      <x:c r="M514" s="7"/>
      <x:c r="N514" s="8" t="str">
        <x:v>https://www.smallcase.com/smallcase/nifty-junior-core-10-fundamental-BULCFMM_0004</x:v>
      </x:c>
      <x:c r="O514" s="4" t="str">
        <x:v>BULCFMM_0004</x:v>
      </x:c>
      <x:c r="P514" s="5" t="str">
        <x:v>Diversified; sector mandate not specified</x:v>
      </x:c>
    </x:row>
    <x:row r="515" ht="60" customHeight="1">
      <x:c r="A515" s="4" t="n">
        <x:v>518</x:v>
      </x:c>
      <x:c r="B515" s="5" t="str">
        <x:v>Bullcapital Nifty Core 10 Fundamental</x:v>
      </x:c>
      <x:c r="C515" s="5" t="str">
        <x:v>Bullcapital</x:v>
      </x:c>
      <x:c r="D515" s="5" t="str">
        <x:v>Diversified / strategy</x:v>
      </x:c>
      <x:c r="E515" s="5" t="str">
        <x:v>No specific industry mandate identified</x:v>
      </x:c>
      <x:c r="F515" s="5" t="str">
        <x:v>Fundamental / growth / quality</x:v>
      </x:c>
      <x:c r="G515" s="6" t="n">
        <x:v>101555</x:v>
      </x:c>
      <x:c r="H515" s="4" t="str">
        <x:v>High</x:v>
      </x:c>
      <x:c r="I515" s="4" t="str">
        <x:v>Fee based</x:v>
      </x:c>
      <x:c r="J515" s="6" t="n">
        <x:v>833</x:v>
      </x:c>
      <x:c r="K515" s="5" t="str">
        <x:v>High-quality large-cap companies From NIFTY 50 in a focused portfolio.</x:v>
      </x:c>
      <x:c r="L515" s="5" t="str">
        <x:v>No sector tags assigned; see description</x:v>
      </x:c>
      <x:c r="M515" s="7" t="d">
        <x:v>2026-08-12T00:00:00.000Z</x:v>
      </x:c>
      <x:c r="N515" s="8" t="str">
        <x:v>https://www.smallcase.com/smallcase/nifty-core-10-fundamental-BULCFMM_0005</x:v>
      </x:c>
      <x:c r="O515" s="4" t="str">
        <x:v>BULCFMM_0005</x:v>
      </x:c>
      <x:c r="P515" s="5" t="str">
        <x:v>Diversified; sector mandate not specified</x:v>
      </x:c>
    </x:row>
    <x:row r="516" ht="60" customHeight="1">
      <x:c r="A516" s="4" t="n">
        <x:v>519</x:v>
      </x:c>
      <x:c r="B516" s="5" t="str">
        <x:v>CWA Energy Next Theme</x:v>
      </x:c>
      <x:c r="C516" s="5" t="str">
        <x:v>Compounding Wealth Advisors</x:v>
      </x:c>
      <x:c r="D516" s="5" t="str">
        <x:v>Sector / industry theme</x:v>
      </x:c>
      <x:c r="E516" s="5" t="str">
        <x:v>Power, utilities &amp; energy</x:v>
      </x:c>
      <x:c r="F516" s="5" t="str">
        <x:v>Other / not specified</x:v>
      </x:c>
      <x:c r="G516" s="6" t="n">
        <x:v>255389</x:v>
      </x:c>
      <x:c r="H516" s="4" t="str">
        <x:v>Medium</x:v>
      </x:c>
      <x:c r="I516" s="4" t="str">
        <x:v>Fee based</x:v>
      </x:c>
      <x:c r="J516" s="6" t="n">
        <x:v>983</x:v>
      </x:c>
      <x:c r="K516" s="5" t="str">
        <x:v>Systematic Investing in outperforming stocks from Energy Sector. Recommended amt : 5-15 lacs</x:v>
      </x:c>
      <x:c r="L516" s="5" t="str">
        <x:v>Title and listing description</x:v>
      </x:c>
      <x:c r="M516" s="7" t="d">
        <x:v>2026-10-26T00:00:00.000Z</x:v>
      </x:c>
      <x:c r="N516" s="8" t="str">
        <x:v>https://www.smallcase.com/smallcase/cwa-energy-next-theme-COWANM_0007</x:v>
      </x:c>
      <x:c r="O516" s="4" t="str">
        <x:v>COWANM_0007</x:v>
      </x:c>
      <x:c r="P516" s="5" t="str"/>
    </x:row>
    <x:row r="517" ht="60" customHeight="1">
      <x:c r="A517" s="4" t="n">
        <x:v>520</x:v>
      </x:c>
      <x:c r="B517" s="5" t="str">
        <x:v>Alpha Harvest Protect Quant</x:v>
      </x:c>
      <x:c r="C517" s="5" t="str">
        <x:v>Bullcapital</x:v>
      </x:c>
      <x:c r="D517" s="5" t="str">
        <x:v>Asset allocation / target date</x:v>
      </x:c>
      <x:c r="E517" s="5" t="str">
        <x:v>No specific industry mandate identified</x:v>
      </x:c>
      <x:c r="F517" s="5" t="str">
        <x:v>Asset allocation</x:v>
      </x:c>
      <x:c r="G517" s="6" t="n">
        <x:v>14500</x:v>
      </x:c>
      <x:c r="H517" s="4" t="str">
        <x:v>Low</x:v>
      </x:c>
      <x:c r="I517" s="4" t="str">
        <x:v>Fee based</x:v>
      </x:c>
      <x:c r="J517" s="6" t="n">
        <x:v>666</x:v>
      </x:c>
      <x:c r="K517" s="5" t="str">
        <x:v>Dynamic allocation across Large cap, Midcap, gold, silver and debt, focused on capital stability</x:v>
      </x:c>
      <x:c r="L517" s="5" t="str">
        <x:v>No sector tags assigned; see description</x:v>
      </x:c>
      <x:c r="M517" s="7" t="d">
        <x:v>2026-10-06T00:00:00.000Z</x:v>
      </x:c>
      <x:c r="N517" s="8" t="str">
        <x:v>https://www.smallcase.com/smallcase/alpha-harvest-protect-quant-BULCQM_0001</x:v>
      </x:c>
      <x:c r="O517" s="4" t="str">
        <x:v>BULCQM_0001</x:v>
      </x:c>
      <x:c r="P517" s="5" t="str">
        <x:v>Asset allocation / target date</x:v>
      </x:c>
    </x:row>
    <x:row r="518" ht="60" customHeight="1">
      <x:c r="A518" s="4" t="n">
        <x:v>521</x:v>
      </x:c>
      <x:c r="B518" s="5" t="str">
        <x:v>Alpha Harvest Amplify Quant</x:v>
      </x:c>
      <x:c r="C518" s="5" t="str">
        <x:v>Bullcapital</x:v>
      </x:c>
      <x:c r="D518" s="5" t="str">
        <x:v>Diversified / strategy</x:v>
      </x:c>
      <x:c r="E518" s="5" t="str">
        <x:v>No specific industry mandate identified</x:v>
      </x:c>
      <x:c r="F518" s="5" t="str">
        <x:v>Quant / factor</x:v>
      </x:c>
      <x:c r="G518" s="6" t="n">
        <x:v>11719</x:v>
      </x:c>
      <x:c r="H518" s="4" t="str">
        <x:v>Low</x:v>
      </x:c>
      <x:c r="I518" s="4" t="str">
        <x:v>Fee based</x:v>
      </x:c>
      <x:c r="J518" s="6" t="n">
        <x:v>833</x:v>
      </x:c>
      <x:c r="K518" s="5" t="str">
        <x:v>Dynamic mix of Smallcap, Gold and Silver with built-in Debt protection during volatile phases</x:v>
      </x:c>
      <x:c r="L518" s="5" t="str">
        <x:v>No sector tags assigned; see description</x:v>
      </x:c>
      <x:c r="M518" s="7" t="d">
        <x:v>2026-10-06T00:00:00.000Z</x:v>
      </x:c>
      <x:c r="N518" s="8" t="str">
        <x:v>https://www.smallcase.com/smallcase/alpha-harvest-amplify-quant-BULCQM_0002</x:v>
      </x:c>
      <x:c r="O518" s="4" t="str">
        <x:v>BULCQM_0002</x:v>
      </x:c>
      <x:c r="P518" s="5" t="str">
        <x:v>Diversified; sector mandate not specified</x:v>
      </x:c>
    </x:row>
    <x:row r="519" ht="60" customHeight="1">
      <x:c r="A519" s="4" t="n">
        <x:v>522</x:v>
      </x:c>
      <x:c r="B519" s="5" t="str">
        <x:v>Alpha Harvest Surge Quant</x:v>
      </x:c>
      <x:c r="C519" s="5" t="str">
        <x:v>Bullcapital</x:v>
      </x:c>
      <x:c r="D519" s="5" t="str">
        <x:v>Diversified / strategy</x:v>
      </x:c>
      <x:c r="E519" s="5" t="str">
        <x:v>No specific industry mandate identified</x:v>
      </x:c>
      <x:c r="F519" s="5" t="str">
        <x:v>Momentum / trend</x:v>
      </x:c>
      <x:c r="G519" s="6" t="n">
        <x:v>799</x:v>
      </x:c>
      <x:c r="H519" s="4" t="str">
        <x:v>Medium</x:v>
      </x:c>
      <x:c r="I519" s="4" t="str">
        <x:v>Fee based</x:v>
      </x:c>
      <x:c r="J519" s="6" t="n">
        <x:v>999</x:v>
      </x:c>
      <x:c r="K519" s="5" t="str">
        <x:v>A dynamic basket of Midcap, Gold and Silver that rides full momentum.</x:v>
      </x:c>
      <x:c r="L519" s="5" t="str">
        <x:v>No sector tags assigned; see description</x:v>
      </x:c>
      <x:c r="M519" s="7" t="d">
        <x:v>2026-10-06T00:00:00.000Z</x:v>
      </x:c>
      <x:c r="N519" s="8" t="str">
        <x:v>https://www.smallcase.com/smallcase/alpha-harvest-surge-quant-BULCQM_0003</x:v>
      </x:c>
      <x:c r="O519" s="4" t="str">
        <x:v>BULCQM_0003</x:v>
      </x:c>
      <x:c r="P519" s="5" t="str">
        <x:v>Diversified; sector mandate not specified</x:v>
      </x:c>
    </x:row>
    <x:row r="520" ht="60" customHeight="1">
      <x:c r="A520" s="4" t="n">
        <x:v>523</x:v>
      </x:c>
      <x:c r="B520" s="5" t="str">
        <x:v>Alpha Harvest Rotation 4X Quant</x:v>
      </x:c>
      <x:c r="C520" s="5" t="str">
        <x:v>Bullcapital</x:v>
      </x:c>
      <x:c r="D520" s="5" t="str">
        <x:v>Diversified / strategy</x:v>
      </x:c>
      <x:c r="E520" s="5" t="str">
        <x:v>No specific industry mandate identified</x:v>
      </x:c>
      <x:c r="F520" s="5" t="str">
        <x:v>Quant / factor</x:v>
      </x:c>
      <x:c r="G520" s="6" t="n">
        <x:v>5698</x:v>
      </x:c>
      <x:c r="H520" s="4" t="str">
        <x:v>Low</x:v>
      </x:c>
      <x:c r="I520" s="4" t="str">
        <x:v>Fee based</x:v>
      </x:c>
      <x:c r="J520" s="6" t="n">
        <x:v>1166</x:v>
      </x:c>
      <x:c r="K520" s="5" t="str">
        <x:v>A quant basket of Midcap, SmallCap, Gold and Silver that rotates into the strongest asset.</x:v>
      </x:c>
      <x:c r="L520" s="5" t="str">
        <x:v>No sector tags assigned; see description</x:v>
      </x:c>
      <x:c r="M520" s="7" t="d">
        <x:v>2026-10-06T00:00:00.000Z</x:v>
      </x:c>
      <x:c r="N520" s="8" t="str">
        <x:v>https://www.smallcase.com/smallcase/alpha-harvest-rotation-4x-quant-BULCQM_0004</x:v>
      </x:c>
      <x:c r="O520" s="4" t="str">
        <x:v>BULCQM_0004</x:v>
      </x:c>
      <x:c r="P520" s="5" t="str">
        <x:v>Diversified; sector mandate not specified</x:v>
      </x:c>
    </x:row>
    <x:row r="521" ht="60" customHeight="1">
      <x:c r="A521" s="4" t="n">
        <x:v>524</x:v>
      </x:c>
      <x:c r="B521" s="5" t="str">
        <x:v>Alpha Harvest Rotation 5X Quant</x:v>
      </x:c>
      <x:c r="C521" s="5" t="str">
        <x:v>Bullcapital</x:v>
      </x:c>
      <x:c r="D521" s="5" t="str">
        <x:v>Asset allocation / target date</x:v>
      </x:c>
      <x:c r="E521" s="5" t="str">
        <x:v>No specific industry mandate identified</x:v>
      </x:c>
      <x:c r="F521" s="5" t="str">
        <x:v>Asset allocation</x:v>
      </x:c>
      <x:c r="G521" s="6" t="n">
        <x:v>24081</x:v>
      </x:c>
      <x:c r="H521" s="4" t="str">
        <x:v>Low</x:v>
      </x:c>
      <x:c r="I521" s="4" t="str">
        <x:v>Fee based</x:v>
      </x:c>
      <x:c r="J521" s="6" t="n">
        <x:v>1249</x:v>
      </x:c>
      <x:c r="K521" s="5" t="str">
        <x:v>Portfolio across Largecap,midcap,smallcap, gold and silver for early trend capture</x:v>
      </x:c>
      <x:c r="L521" s="5" t="str">
        <x:v>No sector tags assigned; see description</x:v>
      </x:c>
      <x:c r="M521" s="7" t="d">
        <x:v>2026-10-06T00:00:00.000Z</x:v>
      </x:c>
      <x:c r="N521" s="8" t="str">
        <x:v>https://www.smallcase.com/smallcase/alpha-harvest-rotation-5x-quant-BULCQM_0005</x:v>
      </x:c>
      <x:c r="O521" s="4" t="str">
        <x:v>BULCQM_0005</x:v>
      </x:c>
      <x:c r="P521" s="5" t="str">
        <x:v>Asset allocation / target date</x:v>
      </x:c>
    </x:row>
    <x:row r="522" ht="60" customHeight="1">
      <x:c r="A522" s="4" t="n">
        <x:v>525</x:v>
      </x:c>
      <x:c r="B522" s="5" t="str">
        <x:v>Alpha Harvest Argent Quant</x:v>
      </x:c>
      <x:c r="C522" s="5" t="str">
        <x:v>Bullcapital</x:v>
      </x:c>
      <x:c r="D522" s="5" t="str">
        <x:v>Diversified / strategy</x:v>
      </x:c>
      <x:c r="E522" s="5" t="str">
        <x:v>No specific industry mandate identified</x:v>
      </x:c>
      <x:c r="F522" s="5" t="str">
        <x:v>Quant / factor</x:v>
      </x:c>
      <x:c r="G522" s="6" t="n">
        <x:v>1445</x:v>
      </x:c>
      <x:c r="H522" s="4" t="str">
        <x:v>Low</x:v>
      </x:c>
      <x:c r="I522" s="4" t="str">
        <x:v>Fee based</x:v>
      </x:c>
      <x:c r="J522" s="6" t="n">
        <x:v>1083</x:v>
      </x:c>
      <x:c r="K522" s="5" t="str">
        <x:v>A quant basket of Midcap, Gold and Silver that concentrates in winner during commodity supercycles.</x:v>
      </x:c>
      <x:c r="L522" s="5" t="str">
        <x:v>No sector tags assigned; see description</x:v>
      </x:c>
      <x:c r="M522" s="7" t="d">
        <x:v>2026-10-06T00:00:00.000Z</x:v>
      </x:c>
      <x:c r="N522" s="8" t="str">
        <x:v>https://www.smallcase.com/smallcase/alpha-harvest-argent-quant-BULCQM_0006</x:v>
      </x:c>
      <x:c r="O522" s="4" t="str">
        <x:v>BULCQM_0006</x:v>
      </x:c>
      <x:c r="P522" s="5" t="str">
        <x:v>Diversified; sector mandate not specified</x:v>
      </x:c>
    </x:row>
    <x:row r="523" ht="60" customHeight="1">
      <x:c r="A523" s="4" t="n">
        <x:v>526</x:v>
      </x:c>
      <x:c r="B523" s="5" t="str">
        <x:v>EquiBoost NextGen Theme</x:v>
      </x:c>
      <x:c r="C523" s="5" t="str">
        <x:v>Equiboost Finserv Private Limited</x:v>
      </x:c>
      <x:c r="D523" s="5" t="str">
        <x:v>Sector / industry theme</x:v>
      </x:c>
      <x:c r="E523" s="5" t="str">
        <x:v>AI, data centres &amp; digital infrastructure; IT, software &amp; digital platforms; Electronics &amp; semiconductors</x:v>
      </x:c>
      <x:c r="F523" s="5" t="str">
        <x:v>Fundamental / growth / quality</x:v>
      </x:c>
      <x:c r="G523" s="6" t="n">
        <x:v>43258</x:v>
      </x:c>
      <x:c r="H523" s="4" t="str">
        <x:v>High</x:v>
      </x:c>
      <x:c r="I523" s="4" t="str">
        <x:v>Fee based</x:v>
      </x:c>
      <x:c r="J523" s="6" t="n">
        <x:v>850</x:v>
      </x:c>
      <x:c r="K523" s="5" t="str">
        <x:v>Invest in the fundamental pillars of the technology, from Semiconductors and Data Centers to AI</x:v>
      </x:c>
      <x:c r="L523" s="5" t="str">
        <x:v>Title and listing description</x:v>
      </x:c>
      <x:c r="M523" s="7" t="d">
        <x:v>2026-10-13T00:00:00.000Z</x:v>
      </x:c>
      <x:c r="N523" s="8" t="str">
        <x:v>https://www.smallcase.com/smallcase/equiboost-nextgen-theme-EBFSNM_0007</x:v>
      </x:c>
      <x:c r="O523" s="4" t="str">
        <x:v>EBFSNM_0007</x:v>
      </x:c>
      <x:c r="P523" s="5" t="str"/>
    </x:row>
    <x:row r="524" ht="60" customHeight="1">
      <x:c r="A524" s="4" t="n">
        <x:v>527</x:v>
      </x:c>
      <x:c r="B524" s="5" t="str">
        <x:v>Nirivantes Prime Momentum Fundamental</x:v>
      </x:c>
      <x:c r="C524" s="5" t="str">
        <x:v>NIRIVANTES RESEARCH</x:v>
      </x:c>
      <x:c r="D524" s="5" t="str">
        <x:v>Diversified / strategy</x:v>
      </x:c>
      <x:c r="E524" s="5" t="str">
        <x:v>No specific industry mandate identified</x:v>
      </x:c>
      <x:c r="F524" s="5" t="str">
        <x:v>Momentum / trend</x:v>
      </x:c>
      <x:c r="G524" s="6" t="n">
        <x:v>35993</x:v>
      </x:c>
      <x:c r="H524" s="4" t="str">
        <x:v>High</x:v>
      </x:c>
      <x:c r="I524" s="4" t="str">
        <x:v>Fee based</x:v>
      </x:c>
      <x:c r="J524" s="6" t="n">
        <x:v>884</x:v>
      </x:c>
      <x:c r="K524" s="5" t="str">
        <x:v>A portfolio of high-conviction market leaders selected through strength, momentum and quality.</x:v>
      </x:c>
      <x:c r="L524" s="5" t="str">
        <x:v>No sector tags assigned; see description</x:v>
      </x:c>
      <x:c r="M524" s="7" t="d">
        <x:v>2026-09-23T00:00:00.000Z</x:v>
      </x:c>
      <x:c r="N524" s="8" t="str">
        <x:v>https://www.smallcase.com/smallcase/nirivantes-prime-momentum-smart-beta-NVNTSB_0002</x:v>
      </x:c>
      <x:c r="O524" s="4" t="str">
        <x:v>NVNTSB_0002</x:v>
      </x:c>
      <x:c r="P524" s="5" t="str">
        <x:v>Diversified; sector mandate not specified</x:v>
      </x:c>
    </x:row>
    <x:row r="525" ht="60" customHeight="1">
      <x:c r="A525" s="4" t="n">
        <x:v>528</x:v>
      </x:c>
      <x:c r="B525" s="5" t="str">
        <x:v>Nirivantes Core Opportunities Model</x:v>
      </x:c>
      <x:c r="C525" s="5" t="str">
        <x:v>NIRIVANTES RESEARCH</x:v>
      </x:c>
      <x:c r="D525" s="5" t="str">
        <x:v>Diversified / strategy</x:v>
      </x:c>
      <x:c r="E525" s="5" t="str">
        <x:v>No specific industry mandate identified</x:v>
      </x:c>
      <x:c r="F525" s="5" t="str">
        <x:v>Momentum / trend</x:v>
      </x:c>
      <x:c r="G525" s="6" t="n">
        <x:v>34169</x:v>
      </x:c>
      <x:c r="H525" s="4" t="str">
        <x:v>High</x:v>
      </x:c>
      <x:c r="I525" s="4" t="str">
        <x:v>Fee based</x:v>
      </x:c>
      <x:c r="J525" s="6" t="n">
        <x:v>1179</x:v>
      </x:c>
      <x:c r="K525" s="5" t="str">
        <x:v>A dynamic portfolio seeking the best opportunities across growth, value, momentum and ETFs.</x:v>
      </x:c>
      <x:c r="L525" s="5" t="str">
        <x:v>No sector tags assigned; see description</x:v>
      </x:c>
      <x:c r="M525" s="7" t="d">
        <x:v>2026-09-22T00:00:00.000Z</x:v>
      </x:c>
      <x:c r="N525" s="8" t="str">
        <x:v>https://www.smallcase.com/smallcase/nirivantes-core-opportunities-model-NVNTMX_0001</x:v>
      </x:c>
      <x:c r="O525" s="4" t="str">
        <x:v>NVNTMX_0001</x:v>
      </x:c>
      <x:c r="P525" s="5" t="str">
        <x:v>Diversified; sector mandate not specified</x:v>
      </x:c>
    </x:row>
    <x:row r="526" ht="60" customHeight="1">
      <x:c r="A526" s="4" t="n">
        <x:v>529</x:v>
      </x:c>
      <x:c r="B526" s="5" t="str">
        <x:v>Infinity Early Discovery - Mojo One Quant</x:v>
      </x:c>
      <x:c r="C526" s="5" t="str">
        <x:v>Mojo Infinity</x:v>
      </x:c>
      <x:c r="D526" s="5" t="str">
        <x:v>Diversified / strategy</x:v>
      </x:c>
      <x:c r="E526" s="5" t="str">
        <x:v>No specific industry mandate identified</x:v>
      </x:c>
      <x:c r="F526" s="5" t="str">
        <x:v>Momentum / trend</x:v>
      </x:c>
      <x:c r="G526" s="6" t="n">
        <x:v>200000</x:v>
      </x:c>
      <x:c r="H526" s="4" t="str">
        <x:v>High</x:v>
      </x:c>
      <x:c r="I526" s="4" t="str">
        <x:v>Fee based</x:v>
      </x:c>
      <x:c r="J526" s="6" t="n">
        <x:v>499</x:v>
      </x:c>
      <x:c r="K526" s="5" t="str">
        <x:v>One Powerful Portfolio made of Mojo Stocks, Reliable Performers, Hidden Turnarounds &amp; Momentum Now.</x:v>
      </x:c>
      <x:c r="L526" s="5" t="str">
        <x:v>No sector tags assigned; see description</x:v>
      </x:c>
      <x:c r="M526" s="7" t="d">
        <x:v>2026-09-22T00:00:00.000Z</x:v>
      </x:c>
      <x:c r="N526" s="8" t="str">
        <x:v>https://www.smallcase.com/smallcase/infinity-early-discovery-(mojo-one)-quant-MOJOQM_0012</x:v>
      </x:c>
      <x:c r="O526" s="4" t="str">
        <x:v>MOJOQM_0012</x:v>
      </x:c>
      <x:c r="P526" s="5" t="str">
        <x:v>Diversified; sector mandate not specified</x:v>
      </x:c>
    </x:row>
    <x:row r="527" ht="60" customHeight="1">
      <x:c r="A527" s="4" t="n">
        <x:v>530</x:v>
      </x:c>
      <x:c r="B527" s="5" t="str">
        <x:v>Infinity Emerging Midcap Leaders- Quant</x:v>
      </x:c>
      <x:c r="C527" s="5" t="str">
        <x:v>Mojo Infinity</x:v>
      </x:c>
      <x:c r="D527" s="5" t="str">
        <x:v>Diversified / strategy</x:v>
      </x:c>
      <x:c r="E527" s="5" t="str">
        <x:v>No specific industry mandate identified</x:v>
      </x:c>
      <x:c r="F527" s="5" t="str">
        <x:v>Quant / factor</x:v>
      </x:c>
      <x:c r="G527" s="6" t="n">
        <x:v>200000</x:v>
      </x:c>
      <x:c r="H527" s="4" t="str">
        <x:v>High</x:v>
      </x:c>
      <x:c r="I527" s="4" t="str">
        <x:v>Fee based</x:v>
      </x:c>
      <x:c r="J527" s="6" t="n">
        <x:v>499</x:v>
      </x:c>
      <x:c r="K527" s="5" t="str">
        <x:v>Midcap growth at its best! Handpicked Midcap stocks with potential to become tomorrow's large caps.</x:v>
      </x:c>
      <x:c r="L527" s="5" t="str">
        <x:v>No sector tags assigned; see description</x:v>
      </x:c>
      <x:c r="M527" s="7" t="d">
        <x:v>2026-08-18T00:00:00.000Z</x:v>
      </x:c>
      <x:c r="N527" s="8" t="str">
        <x:v>https://www.smallcase.com/smallcase/infinity-emerging-midcap-leaders-quant-MOJOQM_0013</x:v>
      </x:c>
      <x:c r="O527" s="4" t="str">
        <x:v>MOJOQM_0013</x:v>
      </x:c>
      <x:c r="P527" s="5" t="str">
        <x:v>Diversified; sector mandate not specified</x:v>
      </x:c>
    </x:row>
    <x:row r="528" ht="60" customHeight="1">
      <x:c r="A528" s="4" t="n">
        <x:v>531</x:v>
      </x:c>
      <x:c r="B528" s="5" t="str">
        <x:v>Infinity Top Tier Equity- Quant</x:v>
      </x:c>
      <x:c r="C528" s="5" t="str">
        <x:v>Mojo Infinity</x:v>
      </x:c>
      <x:c r="D528" s="5" t="str">
        <x:v>Diversified / strategy</x:v>
      </x:c>
      <x:c r="E528" s="5" t="str">
        <x:v>No specific industry mandate identified</x:v>
      </x:c>
      <x:c r="F528" s="5" t="str">
        <x:v>Quant / factor</x:v>
      </x:c>
      <x:c r="G528" s="6" t="n">
        <x:v>200000</x:v>
      </x:c>
      <x:c r="H528" s="4" t="str">
        <x:v>High</x:v>
      </x:c>
      <x:c r="I528" s="4" t="str">
        <x:v>Fee based</x:v>
      </x:c>
      <x:c r="J528" s="6" t="n">
        <x:v>499</x:v>
      </x:c>
      <x:c r="K528" s="5" t="str">
        <x:v>A low-risk portfolio featuring the best of Nifty 100- ideal for long-term capital appreciation.</x:v>
      </x:c>
      <x:c r="L528" s="5" t="str">
        <x:v>No sector tags assigned; see description</x:v>
      </x:c>
      <x:c r="M528" s="7" t="d">
        <x:v>2026-09-25T00:00:00.000Z</x:v>
      </x:c>
      <x:c r="N528" s="8" t="str">
        <x:v>https://www.smallcase.com/smallcase/infinity-top-tier-equity-quant-MOJOQM_0014</x:v>
      </x:c>
      <x:c r="O528" s="4" t="str">
        <x:v>MOJOQM_0014</x:v>
      </x:c>
      <x:c r="P528" s="5" t="str">
        <x:v>Diversified; sector mandate not specified</x:v>
      </x:c>
    </x:row>
    <x:row r="529" ht="60" customHeight="1">
      <x:c r="A529" s="4" t="n">
        <x:v>532</x:v>
      </x:c>
      <x:c r="B529" s="5" t="str">
        <x:v>Aggressive- Quant</x:v>
      </x:c>
      <x:c r="C529" s="5" t="str">
        <x:v>Mojo Infinity</x:v>
      </x:c>
      <x:c r="D529" s="5" t="str">
        <x:v>Diversified / strategy</x:v>
      </x:c>
      <x:c r="E529" s="5" t="str">
        <x:v>No specific industry mandate identified</x:v>
      </x:c>
      <x:c r="F529" s="5" t="str">
        <x:v>Quant / factor</x:v>
      </x:c>
      <x:c r="G529" s="6" t="n">
        <x:v>200000</x:v>
      </x:c>
      <x:c r="H529" s="4" t="str">
        <x:v>High</x:v>
      </x:c>
      <x:c r="I529" s="4" t="str">
        <x:v>Fee based</x:v>
      </x:c>
      <x:c r="J529" s="6" t="n">
        <x:v>499</x:v>
      </x:c>
      <x:c r="K529" s="5" t="str">
        <x:v>A high-conviction equity portfolio with a meaningful allocation to mid and small-cap opportunities.</x:v>
      </x:c>
      <x:c r="L529" s="5" t="str">
        <x:v>No sector tags assigned; see description</x:v>
      </x:c>
      <x:c r="M529" s="7" t="d">
        <x:v>2026-10-05T00:00:00.000Z</x:v>
      </x:c>
      <x:c r="N529" s="8" t="str">
        <x:v>https://www.smallcase.com/smallcase/aggressive-quant-MOJOQM_0015</x:v>
      </x:c>
      <x:c r="O529" s="4" t="str">
        <x:v>MOJOQM_0015</x:v>
      </x:c>
      <x:c r="P529" s="5" t="str">
        <x:v>Diversified; sector mandate not specified</x:v>
      </x:c>
    </x:row>
    <x:row r="530" ht="60" customHeight="1">
      <x:c r="A530" s="4" t="n">
        <x:v>533</x:v>
      </x:c>
      <x:c r="B530" s="5" t="str">
        <x:v>Moderate- Quant</x:v>
      </x:c>
      <x:c r="C530" s="5" t="str">
        <x:v>Mojo Infinity</x:v>
      </x:c>
      <x:c r="D530" s="5" t="str">
        <x:v>Diversified / strategy</x:v>
      </x:c>
      <x:c r="E530" s="5" t="str">
        <x:v>No specific industry mandate identified</x:v>
      </x:c>
      <x:c r="F530" s="5" t="str">
        <x:v>Quant / factor</x:v>
      </x:c>
      <x:c r="G530" s="6" t="n">
        <x:v>200000</x:v>
      </x:c>
      <x:c r="H530" s="4" t="str">
        <x:v>High</x:v>
      </x:c>
      <x:c r="I530" s="4" t="str">
        <x:v>Fee based</x:v>
      </x:c>
      <x:c r="J530" s="6" t="n">
        <x:v>499</x:v>
      </x:c>
      <x:c r="K530" s="5" t="str">
        <x:v>A balanced equity portfolio that combines large-cap stability with emerging growth opportunities.</x:v>
      </x:c>
      <x:c r="L530" s="5" t="str">
        <x:v>No sector tags assigned; see description</x:v>
      </x:c>
      <x:c r="M530" s="7" t="d">
        <x:v>2026-10-05T00:00:00.000Z</x:v>
      </x:c>
      <x:c r="N530" s="8" t="str">
        <x:v>https://www.smallcase.com/smallcase/moderate-quant-MOJOQM_0016</x:v>
      </x:c>
      <x:c r="O530" s="4" t="str">
        <x:v>MOJOQM_0016</x:v>
      </x:c>
      <x:c r="P530" s="5" t="str">
        <x:v>Diversified; sector mandate not specified</x:v>
      </x:c>
    </x:row>
    <x:row r="531" ht="60" customHeight="1">
      <x:c r="A531" s="4" t="n">
        <x:v>534</x:v>
      </x:c>
      <x:c r="B531" s="5" t="str">
        <x:v>Conservative- Quant</x:v>
      </x:c>
      <x:c r="C531" s="5" t="str">
        <x:v>Mojo Infinity</x:v>
      </x:c>
      <x:c r="D531" s="5" t="str">
        <x:v>Diversified / strategy</x:v>
      </x:c>
      <x:c r="E531" s="5" t="str">
        <x:v>No specific industry mandate identified</x:v>
      </x:c>
      <x:c r="F531" s="5" t="str">
        <x:v>Quant / factor</x:v>
      </x:c>
      <x:c r="G531" s="6" t="n">
        <x:v>200000</x:v>
      </x:c>
      <x:c r="H531" s="4" t="str">
        <x:v>High</x:v>
      </x:c>
      <x:c r="I531" s="4" t="str">
        <x:v>Fee based</x:v>
      </x:c>
      <x:c r="J531" s="6" t="n">
        <x:v>499</x:v>
      </x:c>
      <x:c r="K531" s="5" t="str">
        <x:v>A relatively lower-risk equity portfolio focused primarily on established large-cap companies.</x:v>
      </x:c>
      <x:c r="L531" s="5" t="str">
        <x:v>No sector tags assigned; see description</x:v>
      </x:c>
      <x:c r="M531" s="7" t="d">
        <x:v>2026-10-05T00:00:00.000Z</x:v>
      </x:c>
      <x:c r="N531" s="8" t="str">
        <x:v>https://www.smallcase.com/smallcase/conservative-quant-MOJOQM_0017</x:v>
      </x:c>
      <x:c r="O531" s="4" t="str">
        <x:v>MOJOQM_0017</x:v>
      </x:c>
      <x:c r="P531" s="5" t="str">
        <x:v>Diversified; sector mandate not specified</x:v>
      </x:c>
    </x:row>
    <x:row r="532" ht="60" customHeight="1">
      <x:c r="A532" s="4" t="n">
        <x:v>535</x:v>
      </x:c>
      <x:c r="B532" s="5" t="str">
        <x:v>smartvalues - evergreen Quant</x:v>
      </x:c>
      <x:c r="C532" s="5" t="str">
        <x:v>Lamron Analysts</x:v>
      </x:c>
      <x:c r="D532" s="5" t="str">
        <x:v>Diversified / strategy</x:v>
      </x:c>
      <x:c r="E532" s="5" t="str">
        <x:v>No specific industry mandate identified</x:v>
      </x:c>
      <x:c r="F532" s="5" t="str">
        <x:v>Value / contrarian</x:v>
      </x:c>
      <x:c r="G532" s="6" t="n">
        <x:v>577745</x:v>
      </x:c>
      <x:c r="H532" s="4" t="str">
        <x:v>High</x:v>
      </x:c>
      <x:c r="I532" s="4" t="str">
        <x:v>Fee based</x:v>
      </x:c>
      <x:c r="J532" s="6" t="n">
        <x:v>1275</x:v>
      </x:c>
      <x:c r="K532" s="5" t="str">
        <x:v>Evergreen — A 20-stock portfolio designed to capture enduring winners across changing market cycles.</x:v>
      </x:c>
      <x:c r="L532" s="5" t="str">
        <x:v>No sector tags assigned; see description</x:v>
      </x:c>
      <x:c r="M532" s="7" t="d">
        <x:v>2026-10-13T00:00:00.000Z</x:v>
      </x:c>
      <x:c r="N532" s="8" t="str">
        <x:v>https://www.smallcase.com/smallcase/smartvalues-evergreen-quant-LMRQM_0003</x:v>
      </x:c>
      <x:c r="O532" s="4" t="str">
        <x:v>LMRQM_0003</x:v>
      </x:c>
      <x:c r="P532" s="5" t="str">
        <x:v>Diversified; sector mandate not specified</x:v>
      </x:c>
    </x:row>
    <x:row r="533" ht="60" customHeight="1">
      <x:c r="A533" s="4" t="n">
        <x:v>536</x:v>
      </x:c>
      <x:c r="B533" s="5" t="str">
        <x:v>Nirivantes TechWave Select Theme</x:v>
      </x:c>
      <x:c r="C533" s="5" t="str">
        <x:v>NIRIVANTES RESEARCH</x:v>
      </x:c>
      <x:c r="D533" s="5" t="str">
        <x:v>Sector / industry theme</x:v>
      </x:c>
      <x:c r="E533" s="5" t="str">
        <x:v>AI, data centres &amp; digital infrastructure; IT, software &amp; digital platforms</x:v>
      </x:c>
      <x:c r="F533" s="5" t="str">
        <x:v>Other / not specified</x:v>
      </x:c>
      <x:c r="G533" s="6" t="n">
        <x:v>84379</x:v>
      </x:c>
      <x:c r="H533" s="4" t="str">
        <x:v>High</x:v>
      </x:c>
      <x:c r="I533" s="4" t="str">
        <x:v>Fee based</x:v>
      </x:c>
      <x:c r="J533" s="6" t="n">
        <x:v>1304</x:v>
      </x:c>
      <x:c r="K533" s="5" t="str">
        <x:v>A basket of IT, AI, cloud, software and digital businesses driving the next tech wave.</x:v>
      </x:c>
      <x:c r="L533" s="5" t="str">
        <x:v>Title and listing description</x:v>
      </x:c>
      <x:c r="M533" s="7" t="d">
        <x:v>2026-08-05T00:00:00.000Z</x:v>
      </x:c>
      <x:c r="N533" s="8" t="str">
        <x:v>https://www.smallcase.com/smallcase/nirivantes-techwave-select-theme-NVNTNM_0001</x:v>
      </x:c>
      <x:c r="O533" s="4" t="str">
        <x:v>NVNTNM_0001</x:v>
      </x:c>
      <x:c r="P533" s="5" t="str"/>
    </x:row>
    <x:row r="534" ht="60" customHeight="1">
      <x:c r="A534" s="4" t="n">
        <x:v>537</x:v>
      </x:c>
      <x:c r="B534" s="5" t="str">
        <x:v>FINZ Momentum 30 Quant</x:v>
      </x:c>
      <x:c r="C534" s="5" t="str">
        <x:v>Finkhoz Roboadvisory Services Private Limited</x:v>
      </x:c>
      <x:c r="D534" s="5" t="str">
        <x:v>Diversified / strategy</x:v>
      </x:c>
      <x:c r="E534" s="5" t="str">
        <x:v>No specific industry mandate identified</x:v>
      </x:c>
      <x:c r="F534" s="5" t="str">
        <x:v>Momentum / trend</x:v>
      </x:c>
      <x:c r="G534" s="6" t="n">
        <x:v>178496</x:v>
      </x:c>
      <x:c r="H534" s="4" t="str">
        <x:v>High</x:v>
      </x:c>
      <x:c r="I534" s="4" t="str">
        <x:v>Fee based</x:v>
      </x:c>
      <x:c r="J534" s="6" t="n">
        <x:v>950</x:v>
      </x:c>
      <x:c r="K534" s="5" t="str">
        <x:v>Momentum-driven Nifty Mid-Small basket focused on high-performing stocks.</x:v>
      </x:c>
      <x:c r="L534" s="5" t="str">
        <x:v>No sector tags assigned; see description</x:v>
      </x:c>
      <x:c r="M534" s="7" t="d">
        <x:v>2026-10-26T00:00:00.000Z</x:v>
      </x:c>
      <x:c r="N534" s="8" t="str">
        <x:v>https://www.smallcase.com/smallcase/finz-momentum-30-quant-FIROQM_0011</x:v>
      </x:c>
      <x:c r="O534" s="4" t="str">
        <x:v>FIROQM_0011</x:v>
      </x:c>
      <x:c r="P534" s="5" t="str">
        <x:v>Diversified; sector mandate not specified</x:v>
      </x:c>
    </x:row>
    <x:row r="535" ht="60" customHeight="1">
      <x:c r="A535" s="4" t="n">
        <x:v>538</x:v>
      </x:c>
      <x:c r="B535" s="5" t="str">
        <x:v>Artha Flexi Cap Model</x:v>
      </x:c>
      <x:c r="C535" s="5" t="str">
        <x:v>INVEST4EDU PRIVATE LIMITED</x:v>
      </x:c>
      <x:c r="D535" s="5" t="str">
        <x:v>Diversified / strategy</x:v>
      </x:c>
      <x:c r="E535" s="5" t="str">
        <x:v>No specific industry mandate identified</x:v>
      </x:c>
      <x:c r="F535" s="5" t="str">
        <x:v>Momentum / trend</x:v>
      </x:c>
      <x:c r="G535" s="6" t="n">
        <x:v>1500000</x:v>
      </x:c>
      <x:c r="H535" s="4" t="str">
        <x:v>High</x:v>
      </x:c>
      <x:c r="I535" s="4" t="str">
        <x:v>Fee based</x:v>
      </x:c>
      <x:c r="J535" s="6" t="n">
        <x:v>3441</x:v>
      </x:c>
      <x:c r="K535" s="5" t="str">
        <x:v>A smarter blend of Quality and Momentum, driven by quantitative discipline.</x:v>
      </x:c>
      <x:c r="L535" s="5" t="str">
        <x:v>No sector tags assigned; see description</x:v>
      </x:c>
      <x:c r="M535" s="7"/>
      <x:c r="N535" s="8" t="str">
        <x:v>https://www.smallcase.com/smallcase/artha-flexi-cap-model-IEDUFMM_0004</x:v>
      </x:c>
      <x:c r="O535" s="4" t="str">
        <x:v>IEDUFMM_0004</x:v>
      </x:c>
      <x:c r="P535" s="5" t="str">
        <x:v>Diversified; sector mandate not specified</x:v>
      </x:c>
    </x:row>
    <x:row r="536" ht="60" customHeight="1">
      <x:c r="A536" s="4" t="n">
        <x:v>539</x:v>
      </x:c>
      <x:c r="B536" s="5" t="str">
        <x:v>EquiCore Midcap Fundamental</x:v>
      </x:c>
      <x:c r="C536" s="5" t="str">
        <x:v>Equivision Consulting</x:v>
      </x:c>
      <x:c r="D536" s="5" t="str">
        <x:v>Diversified / strategy</x:v>
      </x:c>
      <x:c r="E536" s="5" t="str">
        <x:v>No specific industry mandate identified</x:v>
      </x:c>
      <x:c r="F536" s="5" t="str">
        <x:v>Fundamental / growth / quality</x:v>
      </x:c>
      <x:c r="G536" s="6" t="n">
        <x:v>460380</x:v>
      </x:c>
      <x:c r="H536" s="4" t="str">
        <x:v>High</x:v>
      </x:c>
      <x:c r="I536" s="4" t="str">
        <x:v>Fee based</x:v>
      </x:c>
      <x:c r="J536" s="6" t="n">
        <x:v>1376</x:v>
      </x:c>
      <x:c r="K536" s="5" t="str">
        <x:v>20-30 Stocks: A midcap core basket built on structural growth stories with sector diversification</x:v>
      </x:c>
      <x:c r="L536" s="5" t="str">
        <x:v>No sector tags assigned; see description</x:v>
      </x:c>
      <x:c r="M536" s="7"/>
      <x:c r="N536" s="8" t="str">
        <x:v>https://www.smallcase.com/smallcase/equicore-midcap-fundamental-EREQFMM_0013</x:v>
      </x:c>
      <x:c r="O536" s="4" t="str">
        <x:v>EREQFMM_0013</x:v>
      </x:c>
      <x:c r="P536" s="5" t="str">
        <x:v>Diversified; sector mandate not specified</x:v>
      </x:c>
    </x:row>
    <x:row r="537" ht="60" customHeight="1">
      <x:c r="A537" s="4" t="n">
        <x:v>540</x:v>
      </x:c>
      <x:c r="B537" s="5" t="str">
        <x:v>True Turtles VECTOR ALPHA Quant</x:v>
      </x:c>
      <x:c r="C537" s="5" t="str">
        <x:v>TRUE TURTLES RESEARCH</x:v>
      </x:c>
      <x:c r="D537" s="5" t="str">
        <x:v>Diversified / strategy</x:v>
      </x:c>
      <x:c r="E537" s="5" t="str">
        <x:v>No specific industry mandate identified</x:v>
      </x:c>
      <x:c r="F537" s="5" t="str">
        <x:v>Quant / factor</x:v>
      </x:c>
      <x:c r="G537" s="6" t="n">
        <x:v>29709</x:v>
      </x:c>
      <x:c r="H537" s="4" t="str">
        <x:v>Medium</x:v>
      </x:c>
      <x:c r="I537" s="4" t="str">
        <x:v>Fee based</x:v>
      </x:c>
      <x:c r="J537" s="6" t="n">
        <x:v>688</x:v>
      </x:c>
      <x:c r="K537" s="5" t="str">
        <x:v>Aggressive. Concentrated. Picking the strongest NSE stocks thru Data</x:v>
      </x:c>
      <x:c r="L537" s="5" t="str">
        <x:v>No sector tags assigned; see description</x:v>
      </x:c>
      <x:c r="M537" s="7" t="d">
        <x:v>2026-10-27T00:00:00.000Z</x:v>
      </x:c>
      <x:c r="N537" s="8" t="str">
        <x:v>https://www.smallcase.com/smallcase/true-turtles-vector-alpha-quant-TRTUQM_0004</x:v>
      </x:c>
      <x:c r="O537" s="4" t="str">
        <x:v>TRTUQM_0004</x:v>
      </x:c>
      <x:c r="P537" s="5" t="str">
        <x:v>Diversified; sector mandate not specified</x:v>
      </x:c>
    </x:row>
    <x:row r="538" ht="60" customHeight="1">
      <x:c r="A538" s="4" t="n">
        <x:v>541</x:v>
      </x:c>
      <x:c r="B538" s="5" t="str">
        <x:v>True Turtles VECTOR BETA Quant</x:v>
      </x:c>
      <x:c r="C538" s="5" t="str">
        <x:v>TRUE TURTLES RESEARCH</x:v>
      </x:c>
      <x:c r="D538" s="5" t="str">
        <x:v>Diversified / strategy</x:v>
      </x:c>
      <x:c r="E538" s="5" t="str">
        <x:v>No specific industry mandate identified</x:v>
      </x:c>
      <x:c r="F538" s="5" t="str">
        <x:v>Quant / factor</x:v>
      </x:c>
      <x:c r="G538" s="6" t="n">
        <x:v>6754</x:v>
      </x:c>
      <x:c r="H538" s="4" t="str">
        <x:v>Medium</x:v>
      </x:c>
      <x:c r="I538" s="4" t="str">
        <x:v>Fee based</x:v>
      </x:c>
      <x:c r="J538" s="6" t="n">
        <x:v>688</x:v>
      </x:c>
      <x:c r="K538" s="5" t="str">
        <x:v>Aggressive, Highly concentrated. Catching the early Trend Acceleration across liquid NSE universe</x:v>
      </x:c>
      <x:c r="L538" s="5" t="str">
        <x:v>No sector tags assigned; see description</x:v>
      </x:c>
      <x:c r="M538" s="7" t="d">
        <x:v>2026-10-27T00:00:00.000Z</x:v>
      </x:c>
      <x:c r="N538" s="8" t="str">
        <x:v>https://www.smallcase.com/smallcase/true-turtles-vector-beta-quant-TRTUQM_0005</x:v>
      </x:c>
      <x:c r="O538" s="4" t="str">
        <x:v>TRTUQM_0005</x:v>
      </x:c>
      <x:c r="P538" s="5" t="str">
        <x:v>Diversified; sector mandate not specified</x:v>
      </x:c>
    </x:row>
    <x:row r="539" ht="60" customHeight="1">
      <x:c r="A539" s="4" t="n">
        <x:v>542</x:v>
      </x:c>
      <x:c r="B539" s="5" t="str">
        <x:v>Precision Manufacturing in Bharat Theme</x:v>
      </x:c>
      <x:c r="C539" s="5" t="str">
        <x:v>KamayaKya</x:v>
      </x:c>
      <x:c r="D539" s="5" t="str">
        <x:v>Sector / industry theme</x:v>
      </x:c>
      <x:c r="E539" s="5" t="str">
        <x:v>Manufacturing &amp; industrials</x:v>
      </x:c>
      <x:c r="F539" s="5" t="str">
        <x:v>Other / not specified</x:v>
      </x:c>
      <x:c r="G539" s="6" t="n">
        <x:v>29797</x:v>
      </x:c>
      <x:c r="H539" s="4" t="str">
        <x:v>High</x:v>
      </x:c>
      <x:c r="I539" s="4" t="str">
        <x:v>Fee based</x:v>
      </x:c>
      <x:c r="J539" s="6" t="n">
        <x:v>983</x:v>
      </x:c>
      <x:c r="K539" s="5" t="str">
        <x:v>Niche small &amp; midcap manufacturers the world turns to as supply chains move beyond China and Europe.</x:v>
      </x:c>
      <x:c r="L539" s="5" t="str">
        <x:v>Title and listing description</x:v>
      </x:c>
      <x:c r="M539" s="7"/>
      <x:c r="N539" s="8" t="str">
        <x:v>https://www.smallcase.com/smallcase/precision-manufacturing-in-bharat-theme-KAKYNM_0002</x:v>
      </x:c>
      <x:c r="O539" s="4" t="str">
        <x:v>KAKYNM_0002</x:v>
      </x:c>
      <x:c r="P539" s="5" t="str"/>
    </x:row>
    <x:row r="540" ht="60" customHeight="1">
      <x:c r="A540" s="4" t="n">
        <x:v>543</x:v>
      </x:c>
      <x:c r="B540" s="5" t="str">
        <x:v>Aspire Diversified Assets Portfolio Quant</x:v>
      </x:c>
      <x:c r="C540" s="5" t="str">
        <x:v>SmartWealth.ai</x:v>
      </x:c>
      <x:c r="D540" s="5" t="str">
        <x:v>Asset allocation / target date</x:v>
      </x:c>
      <x:c r="E540" s="5" t="str">
        <x:v>No specific industry mandate identified</x:v>
      </x:c>
      <x:c r="F540" s="5" t="str">
        <x:v>Asset allocation</x:v>
      </x:c>
      <x:c r="G540" s="6" t="n">
        <x:v>25924</x:v>
      </x:c>
      <x:c r="H540" s="4" t="str">
        <x:v>High</x:v>
      </x:c>
      <x:c r="I540" s="4" t="str">
        <x:v>Fee based</x:v>
      </x:c>
      <x:c r="J540" s="6" t="n">
        <x:v>737</x:v>
      </x:c>
      <x:c r="K540" s="5" t="str">
        <x:v>Dynamic Equity, Gold &amp; Debt ETF Hybrid – Invest Up to ₹10 Lacs</x:v>
      </x:c>
      <x:c r="L540" s="5" t="str">
        <x:v>No sector tags assigned; see description</x:v>
      </x:c>
      <x:c r="M540" s="7" t="d">
        <x:v>2026-10-22T00:00:00.000Z</x:v>
      </x:c>
      <x:c r="N540" s="8" t="str">
        <x:v>https://www.smallcase.com/smallcase/aspire-diversified-assets-portfolio-SMWAET_0001</x:v>
      </x:c>
      <x:c r="O540" s="4" t="str">
        <x:v>SMWAET_0001</x:v>
      </x:c>
      <x:c r="P540" s="5" t="str">
        <x:v>Asset allocation / target date</x:v>
      </x:c>
    </x:row>
    <x:row r="541" ht="60" customHeight="1">
      <x:c r="A541" s="4" t="n">
        <x:v>544</x:v>
      </x:c>
      <x:c r="B541" s="5" t="str">
        <x:v>Auto Stars Tracker</x:v>
      </x:c>
      <x:c r="C541" s="5" t="str">
        <x:v>Quantace Research</x:v>
      </x:c>
      <x:c r="D541" s="5" t="str">
        <x:v>Sector / industry theme</x:v>
      </x:c>
      <x:c r="E541" s="5" t="str">
        <x:v>Automobiles, EVs &amp; components</x:v>
      </x:c>
      <x:c r="F541" s="5" t="str">
        <x:v>Quant / factor</x:v>
      </x:c>
      <x:c r="G541" s="6" t="n">
        <x:v>101522</x:v>
      </x:c>
      <x:c r="H541" s="4" t="str">
        <x:v>High</x:v>
      </x:c>
      <x:c r="I541" s="4" t="str">
        <x:v>Fee based</x:v>
      </x:c>
      <x:c r="J541" s="6" t="n">
        <x:v>675</x:v>
      </x:c>
      <x:c r="K541" s="5" t="str">
        <x:v>Drive into the future of mobility with the Quantace Auto Stars Basket</x:v>
      </x:c>
      <x:c r="L541" s="5" t="str">
        <x:v>Title and listing description</x:v>
      </x:c>
      <x:c r="M541" s="7" t="d">
        <x:v>2026-10-26T00:00:00.000Z</x:v>
      </x:c>
      <x:c r="N541" s="8" t="str">
        <x:v>https://www.smallcase.com/smallcase/auto-ace-stars-QUREMO_0023</x:v>
      </x:c>
      <x:c r="O541" s="4" t="str">
        <x:v>QUREMO_0023</x:v>
      </x:c>
      <x:c r="P541" s="5" t="str"/>
    </x:row>
    <x:row r="542" ht="60" customHeight="1">
      <x:c r="A542" s="4" t="n">
        <x:v>545</x:v>
      </x:c>
      <x:c r="B542" s="5" t="str">
        <x:v>FMCG Stars Tracker</x:v>
      </x:c>
      <x:c r="C542" s="5" t="str">
        <x:v>Quantace Research</x:v>
      </x:c>
      <x:c r="D542" s="5" t="str">
        <x:v>Sector / industry theme</x:v>
      </x:c>
      <x:c r="E542" s="5" t="str">
        <x:v>Consumer, FMCG &amp; durables</x:v>
      </x:c>
      <x:c r="F542" s="5" t="str">
        <x:v>Quant / factor</x:v>
      </x:c>
      <x:c r="G542" s="6" t="n">
        <x:v>66306</x:v>
      </x:c>
      <x:c r="H542" s="4" t="str">
        <x:v>High</x:v>
      </x:c>
      <x:c r="I542" s="4" t="str">
        <x:v>Fee based</x:v>
      </x:c>
      <x:c r="J542" s="6" t="n">
        <x:v>675</x:v>
      </x:c>
      <x:c r="K542" s="5" t="str">
        <x:v>Quantace's Preferred Picks in the FMCG Sector</x:v>
      </x:c>
      <x:c r="L542" s="5" t="str">
        <x:v>Title and listing description</x:v>
      </x:c>
      <x:c r="M542" s="7" t="d">
        <x:v>2026-10-26T00:00:00.000Z</x:v>
      </x:c>
      <x:c r="N542" s="8" t="str">
        <x:v>https://www.smallcase.com/smallcase/fmcg-ace-stars-QURETR_0004</x:v>
      </x:c>
      <x:c r="O542" s="4" t="str">
        <x:v>QURETR_0004</x:v>
      </x:c>
      <x:c r="P542" s="5" t="str"/>
    </x:row>
    <x:row r="543" ht="60" customHeight="1">
      <x:c r="A543" s="4" t="n">
        <x:v>546</x:v>
      </x:c>
      <x:c r="B543" s="5" t="str">
        <x:v>Energy Stars Tracker</x:v>
      </x:c>
      <x:c r="C543" s="5" t="str">
        <x:v>Quantace Research</x:v>
      </x:c>
      <x:c r="D543" s="5" t="str">
        <x:v>Sector / industry theme</x:v>
      </x:c>
      <x:c r="E543" s="5" t="str">
        <x:v>Power, utilities &amp; energy</x:v>
      </x:c>
      <x:c r="F543" s="5" t="str">
        <x:v>Other / not specified</x:v>
      </x:c>
      <x:c r="G543" s="6" t="n">
        <x:v>36552</x:v>
      </x:c>
      <x:c r="H543" s="4" t="str">
        <x:v>High</x:v>
      </x:c>
      <x:c r="I543" s="4" t="str">
        <x:v>Fee based</x:v>
      </x:c>
      <x:c r="J543" s="6" t="n">
        <x:v>675</x:v>
      </x:c>
      <x:c r="K543" s="5" t="str">
        <x:v>Harness the Power of India's growing energy sector</x:v>
      </x:c>
      <x:c r="L543" s="5" t="str">
        <x:v>Title and listing description</x:v>
      </x:c>
      <x:c r="M543" s="7" t="d">
        <x:v>2026-10-26T00:00:00.000Z</x:v>
      </x:c>
      <x:c r="N543" s="8" t="str">
        <x:v>https://www.smallcase.com/smallcase/energy-ace-stars-QURETR_0005</x:v>
      </x:c>
      <x:c r="O543" s="4" t="str">
        <x:v>QURETR_0005</x:v>
      </x:c>
      <x:c r="P543" s="5" t="str"/>
    </x:row>
    <x:row r="544" ht="60" customHeight="1">
      <x:c r="A544" s="4" t="n">
        <x:v>547</x:v>
      </x:c>
      <x:c r="B544" s="5" t="str">
        <x:v>Omni FinTech, Digital Banking &amp; Payments. Theme</x:v>
      </x:c>
      <x:c r="C544" s="5" t="str">
        <x:v>Omniscience Capital</x:v>
      </x:c>
      <x:c r="D544" s="5" t="str">
        <x:v>Sector / industry theme</x:v>
      </x:c>
      <x:c r="E544" s="5" t="str">
        <x:v>Financial services &amp; fintech; IT, software &amp; digital platforms</x:v>
      </x:c>
      <x:c r="F544" s="5" t="str">
        <x:v>Other / not specified</x:v>
      </x:c>
      <x:c r="G544" s="6" t="n">
        <x:v>150000</x:v>
      </x:c>
      <x:c r="H544" s="4" t="str">
        <x:v>High</x:v>
      </x:c>
      <x:c r="I544" s="4" t="str">
        <x:v>Fee based</x:v>
      </x:c>
      <x:c r="J544" s="6" t="n">
        <x:v>1075</x:v>
      </x:c>
      <x:c r="K544" s="5" t="str">
        <x:v>Companies innovating in Digital banking, payments &amp; FinTech.</x:v>
      </x:c>
      <x:c r="L544" s="5" t="str">
        <x:v>Title and listing description</x:v>
      </x:c>
      <x:c r="M544" s="7" t="d">
        <x:v>2026-09-17T00:00:00.000Z</x:v>
      </x:c>
      <x:c r="N544" s="8" t="str">
        <x:v>https://www.smallcase.com/smallcase/omni-fintech-digital-banking-and-payments-OMNNM_0015</x:v>
      </x:c>
      <x:c r="O544" s="4" t="str">
        <x:v>OMNNM_0015</x:v>
      </x:c>
      <x:c r="P544" s="5" t="str"/>
    </x:row>
    <x:row r="545" ht="60" customHeight="1">
      <x:c r="A545" s="4" t="n">
        <x:v>548</x:v>
      </x:c>
      <x:c r="B545" s="5" t="str">
        <x:v>Index Advantage Smart Beta</x:v>
      </x:c>
      <x:c r="C545" s="5" t="str">
        <x:v>Green Portfolio</x:v>
      </x:c>
      <x:c r="D545" s="5" t="str">
        <x:v>Diversified / strategy</x:v>
      </x:c>
      <x:c r="E545" s="5" t="str">
        <x:v>No specific industry mandate identified</x:v>
      </x:c>
      <x:c r="F545" s="5" t="str">
        <x:v>Quant / factor</x:v>
      </x:c>
      <x:c r="G545" s="6" t="n">
        <x:v>95167</x:v>
      </x:c>
      <x:c r="H545" s="4" t="str">
        <x:v>Medium</x:v>
      </x:c>
      <x:c r="I545" s="4" t="str">
        <x:v>Fee based</x:v>
      </x:c>
      <x:c r="J545" s="6" t="n">
        <x:v>295</x:v>
      </x:c>
      <x:c r="K545" s="5" t="str">
        <x:v>Invest in the top stocks from the NIFTY 50 index</x:v>
      </x:c>
      <x:c r="L545" s="5" t="str">
        <x:v>No sector tags assigned; see description</x:v>
      </x:c>
      <x:c r="M545" s="7" t="d">
        <x:v>2024-09-24T00:00:00.000Z</x:v>
      </x:c>
      <x:c r="N545" s="8" t="str">
        <x:v>https://www.smallcase.com/smallcase/best-nifty-(bluechip)-companies-%22hqrp-philosophy%22-GPRET_0002</x:v>
      </x:c>
      <x:c r="O545" s="4" t="str">
        <x:v>GPRET_0002</x:v>
      </x:c>
      <x:c r="P545" s="5" t="str">
        <x:v>Diversified; sector mandate not specified</x:v>
      </x:c>
    </x:row>
    <x:row r="546" ht="60" customHeight="1">
      <x:c r="A546" s="4" t="n">
        <x:v>549</x:v>
      </x:c>
      <x:c r="B546" s="5" t="str">
        <x:v>Selected Seven Multicap Stocks Fundamental</x:v>
      </x:c>
      <x:c r="C546" s="5" t="str">
        <x:v>SUMAN SHANDIL</x:v>
      </x:c>
      <x:c r="D546" s="5" t="str">
        <x:v>Diversified / strategy</x:v>
      </x:c>
      <x:c r="E546" s="5" t="str">
        <x:v>No specific industry mandate identified</x:v>
      </x:c>
      <x:c r="F546" s="5" t="str">
        <x:v>Fundamental / growth / quality</x:v>
      </x:c>
      <x:c r="G546" s="6" t="n">
        <x:v>12072</x:v>
      </x:c>
      <x:c r="H546" s="4" t="str">
        <x:v>High</x:v>
      </x:c>
      <x:c r="I546" s="4" t="str">
        <x:v>Fee based</x:v>
      </x:c>
      <x:c r="J546" s="6" t="n">
        <x:v>516</x:v>
      </x:c>
      <x:c r="K546" s="5" t="str">
        <x:v>This smallcase is started with selected seven stocks that were accumulated at lower price</x:v>
      </x:c>
      <x:c r="L546" s="5" t="str">
        <x:v>No sector tags assigned; see description</x:v>
      </x:c>
      <x:c r="M546" s="7" t="d">
        <x:v>2026-10-12T00:00:00.000Z</x:v>
      </x:c>
      <x:c r="N546" s="8" t="str">
        <x:v>https://www.smallcase.com/smallcase/growth-stocks-case-1-SUSHMO_0001</x:v>
      </x:c>
      <x:c r="O546" s="4" t="str">
        <x:v>SUSHMO_0001</x:v>
      </x:c>
      <x:c r="P546" s="5" t="str">
        <x:v>Diversified; sector mandate not specified</x:v>
      </x:c>
    </x:row>
    <x:row r="547" ht="60" customHeight="1">
      <x:c r="A547" s="4" t="n">
        <x:v>550</x:v>
      </x:c>
      <x:c r="B547" s="5" t="str">
        <x:v>Infra Stars Theme</x:v>
      </x:c>
      <x:c r="C547" s="5" t="str">
        <x:v>Quantace Research</x:v>
      </x:c>
      <x:c r="D547" s="5" t="str">
        <x:v>Sector / industry theme</x:v>
      </x:c>
      <x:c r="E547" s="5" t="str">
        <x:v>Infrastructure &amp; construction</x:v>
      </x:c>
      <x:c r="F547" s="5" t="str">
        <x:v>Fundamental / growth / quality</x:v>
      </x:c>
      <x:c r="G547" s="6" t="n">
        <x:v>21780</x:v>
      </x:c>
      <x:c r="H547" s="4" t="str">
        <x:v>High</x:v>
      </x:c>
      <x:c r="I547" s="4" t="str">
        <x:v>Fee based</x:v>
      </x:c>
      <x:c r="J547" s="6" t="n">
        <x:v>675</x:v>
      </x:c>
      <x:c r="K547" s="5" t="str">
        <x:v>Powering India's Infrastructure Growth</x:v>
      </x:c>
      <x:c r="L547" s="5" t="str">
        <x:v>Title and listing description</x:v>
      </x:c>
      <x:c r="M547" s="7" t="d">
        <x:v>2026-10-26T00:00:00.000Z</x:v>
      </x:c>
      <x:c r="N547" s="8" t="str">
        <x:v>https://www.smallcase.com/smallcase/quantace-infra-stars-QURETR_0008</x:v>
      </x:c>
      <x:c r="O547" s="4" t="str">
        <x:v>QURETR_0008</x:v>
      </x:c>
      <x:c r="P547" s="5" t="str"/>
    </x:row>
    <x:row r="548" ht="60" customHeight="1">
      <x:c r="A548" s="4" t="n">
        <x:v>551</x:v>
      </x:c>
      <x:c r="B548" s="5" t="str">
        <x:v>Horizon 2040 Target Date</x:v>
      </x:c>
      <x:c r="C548" s="5" t="str">
        <x:v>Windmill Capital</x:v>
      </x:c>
      <x:c r="D548" s="5" t="str">
        <x:v>Asset allocation / target date</x:v>
      </x:c>
      <x:c r="E548" s="5" t="str">
        <x:v>No specific industry mandate identified</x:v>
      </x:c>
      <x:c r="F548" s="5" t="str">
        <x:v>Asset allocation</x:v>
      </x:c>
      <x:c r="G548" s="6" t="n">
        <x:v>3072</x:v>
      </x:c>
      <x:c r="H548" s="4" t="str">
        <x:v>Low</x:v>
      </x:c>
      <x:c r="I548" s="4" t="str">
        <x:v>Fee based</x:v>
      </x:c>
      <x:c r="J548" s="6" t="n">
        <x:v>120</x:v>
      </x:c>
      <x:c r="K548" s="5" t="str">
        <x:v>Multi-asset portfolio optimizing investment value in 2040, for goals like retirement and education</x:v>
      </x:c>
      <x:c r="L548" s="5" t="str">
        <x:v>No sector tags assigned; see description</x:v>
      </x:c>
      <x:c r="M548" s="7" t="d">
        <x:v>2026-01-06T00:00:00.000Z</x:v>
      </x:c>
      <x:c r="N548" s="8" t="str">
        <x:v>https://www.smallcase.com/smallcase/retirement-2040-SCET_0018</x:v>
      </x:c>
      <x:c r="O548" s="4" t="str">
        <x:v>SCET_0018</x:v>
      </x:c>
      <x:c r="P548" s="5" t="str">
        <x:v>Asset allocation / target date</x:v>
      </x:c>
    </x:row>
    <x:row r="549" ht="60" customHeight="1">
      <x:c r="A549" s="4" t="n">
        <x:v>552</x:v>
      </x:c>
      <x:c r="B549" s="5" t="str">
        <x:v>MMG Mid Cap smallcase Fundamental</x:v>
      </x:c>
      <x:c r="C549" s="5" t="str">
        <x:v>My Money Guru</x:v>
      </x:c>
      <x:c r="D549" s="5" t="str">
        <x:v>Diversified / strategy</x:v>
      </x:c>
      <x:c r="E549" s="5" t="str">
        <x:v>No specific industry mandate identified</x:v>
      </x:c>
      <x:c r="F549" s="5" t="str">
        <x:v>Fundamental / growth / quality</x:v>
      </x:c>
      <x:c r="G549" s="6" t="n">
        <x:v>303741</x:v>
      </x:c>
      <x:c r="H549" s="4" t="str">
        <x:v>High</x:v>
      </x:c>
      <x:c r="I549" s="4" t="str">
        <x:v>Fee based</x:v>
      </x:c>
      <x:c r="J549" s="6" t="n">
        <x:v>5405</x:v>
      </x:c>
      <x:c r="K549" s="5" t="str">
        <x:v>High-Growth Mid &amp; Small Caps: A Focused Portfolio of Emerging Leaders Across Sectors.</x:v>
      </x:c>
      <x:c r="L549" s="5" t="str">
        <x:v>No sector tags assigned; see description</x:v>
      </x:c>
      <x:c r="M549" s="7" t="d">
        <x:v>2026-02-03T00:00:00.000Z</x:v>
      </x:c>
      <x:c r="N549" s="8" t="str">
        <x:v>https://www.smallcase.com/smallcase/my-money-guru-focused-mid-cap-and-small-cap-MYMOMO_0003</x:v>
      </x:c>
      <x:c r="O549" s="4" t="str">
        <x:v>MYMOMO_0003</x:v>
      </x:c>
      <x:c r="P549" s="5" t="str">
        <x:v>Diversified; sector mandate not specified</x:v>
      </x:c>
    </x:row>
    <x:row r="550" ht="60" customHeight="1">
      <x:c r="A550" s="4" t="n">
        <x:v>553</x:v>
      </x:c>
      <x:c r="B550" s="5" t="str">
        <x:v>Cherrypicked PSU Financials Theme</x:v>
      </x:c>
      <x:c r="C550" s="5" t="str">
        <x:v>Ethical Advisers</x:v>
      </x:c>
      <x:c r="D550" s="5" t="str">
        <x:v>Sector / industry theme</x:v>
      </x:c>
      <x:c r="E550" s="5" t="str">
        <x:v>Banks &amp; NBFCs; Insurance; Financial services &amp; fintech</x:v>
      </x:c>
      <x:c r="F550" s="5" t="str">
        <x:v>Value / contrarian</x:v>
      </x:c>
      <x:c r="G550" s="6" t="n">
        <x:v>35468</x:v>
      </x:c>
      <x:c r="H550" s="4" t="str">
        <x:v>High</x:v>
      </x:c>
      <x:c r="I550" s="4" t="str">
        <x:v>Fee based</x:v>
      </x:c>
      <x:c r="J550" s="6" t="n">
        <x:v>708</x:v>
      </x:c>
      <x:c r="K550" s="5" t="str">
        <x:v>An ideal mix of public sector banks, insurance and Finserv companies, offering deep value.</x:v>
      </x:c>
      <x:c r="L550" s="5" t="str">
        <x:v>Title and listing description</x:v>
      </x:c>
      <x:c r="M550" s="7" t="d">
        <x:v>2026-10-21T00:00:00.000Z</x:v>
      </x:c>
      <x:c r="N550" s="8" t="str">
        <x:v>https://www.smallcase.com/smallcase/cherrypicked-psu-financials-EHANM_0009</x:v>
      </x:c>
      <x:c r="O550" s="4" t="str">
        <x:v>EHANM_0009</x:v>
      </x:c>
      <x:c r="P550" s="5" t="str"/>
    </x:row>
  </x:sheetData>
  <x:pageMargins left="0.7" right="0.7" top="0.75" bottom="0.75" header="0.3" footer="0.3"/>
  <x:tableParts count="1">
    <x:tablePart xmlns:r="http://schemas.openxmlformats.org/officeDocument/2006/relationships" r:id="R1fc19a7464564a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3" hidden="0" customWidth="1"/>
    <x:col min="2" max="2" width="55" hidden="0" customWidth="1"/>
    <x:col min="3" max="3" width="30" hidden="0" customWidth="1"/>
    <x:col min="4" max="4" width="24" hidden="0" customWidth="1"/>
    <x:col min="5" max="5" width="43" hidden="0" customWidth="1"/>
  </x:cols>
  <x:sheetData>
    <x:row r="2">
      <x:c r="A2" s="2" t="str">
        <x:v>Sector memberships | One row per stated sector per smallcase</x:v>
      </x:c>
      <x:c r="B2" s="1"/>
      <x:c r="C2" s="1"/>
      <x:c r="D2" s="1"/>
      <x:c r="E2" s="1"/>
    </x:row>
    <x:row r="3">
      <x:c r="A3" s="1" t="str">
        <x:v>Filter by sector or manager. Match Smallcase ID to All smallcases for the source URL and description.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13" t="str">
        <x:v>Sector / industry theme</x:v>
      </x:c>
      <x:c r="B5" s="13" t="str">
        <x:v>Smallcase</x:v>
      </x:c>
      <x:c r="C5" s="13" t="str">
        <x:v>Manager</x:v>
      </x:c>
      <x:c r="D5" s="13" t="str">
        <x:v>Smallcase ID</x:v>
      </x:c>
      <x:c r="E5" s="13" t="str">
        <x:v>Evidence basis</x:v>
      </x:c>
    </x:row>
    <x:row r="6" ht="38" customHeight="1">
      <x:c r="A6" s="14" t="str">
        <x:v>IT, software &amp; digital platforms</x:v>
      </x:c>
      <x:c r="B6" s="14" t="str">
        <x:v>Niveshaay TechStack Theme</x:v>
      </x:c>
      <x:c r="C6" s="14" t="str">
        <x:v>Niveshaay</x:v>
      </x:c>
      <x:c r="D6" s="14" t="str">
        <x:v>NIVNM_0003</x:v>
      </x:c>
      <x:c r="E6" s="14" t="str">
        <x:v>Title and listing description</x:v>
      </x:c>
    </x:row>
    <x:row r="7" ht="38" customHeight="1">
      <x:c r="A7" s="14" t="str">
        <x:v>IT, software &amp; digital platforms</x:v>
      </x:c>
      <x:c r="B7" s="14" t="str">
        <x:v>AI &amp; Data Center Theme</x:v>
      </x:c>
      <x:c r="C7" s="14" t="str">
        <x:v>Growth Investing</x:v>
      </x:c>
      <x:c r="D7" s="14" t="str">
        <x:v>GRINMX_0003</x:v>
      </x:c>
      <x:c r="E7" s="14" t="str">
        <x:v>Title and listing description</x:v>
      </x:c>
    </x:row>
    <x:row r="8" ht="38" customHeight="1">
      <x:c r="A8" s="14" t="str">
        <x:v>IT, software &amp; digital platforms</x:v>
      </x:c>
      <x:c r="B8" s="14" t="str">
        <x:v>IT Tracker</x:v>
      </x:c>
      <x:c r="C8" s="14" t="str">
        <x:v>Windmill Capital</x:v>
      </x:c>
      <x:c r="D8" s="14" t="str">
        <x:v>SCTR_0006</x:v>
      </x:c>
      <x:c r="E8" s="14" t="str">
        <x:v>Title and listing description</x:v>
      </x:c>
    </x:row>
    <x:row r="9" ht="38" customHeight="1">
      <x:c r="A9" s="14" t="str">
        <x:v>IT, software &amp; digital platforms</x:v>
      </x:c>
      <x:c r="B9" s="14" t="str">
        <x:v>Digital Inclusion Theme</x:v>
      </x:c>
      <x:c r="C9" s="14" t="str">
        <x:v>Windmill Capital</x:v>
      </x:c>
      <x:c r="D9" s="14" t="str">
        <x:v>SCNM_0014</x:v>
      </x:c>
      <x:c r="E9" s="14" t="str">
        <x:v>Title and listing description</x:v>
      </x:c>
    </x:row>
    <x:row r="10" ht="38" customHeight="1">
      <x:c r="A10" s="14" t="str">
        <x:v>IT, software &amp; digital platforms</x:v>
      </x:c>
      <x:c r="B10" s="14" t="str">
        <x:v>Data Center Infra Specialists Theme</x:v>
      </x:c>
      <x:c r="C10" s="14" t="str">
        <x:v>Growth Investing</x:v>
      </x:c>
      <x:c r="D10" s="14" t="str">
        <x:v>GRINMX_0008</x:v>
      </x:c>
      <x:c r="E10" s="14" t="str">
        <x:v>Title and listing description</x:v>
      </x:c>
    </x:row>
    <x:row r="11" ht="38" customHeight="1">
      <x:c r="A11" s="14" t="str">
        <x:v>IT, software &amp; digital platforms</x:v>
      </x:c>
      <x:c r="B11" s="14" t="str">
        <x:v>smartvalues - digital Theme</x:v>
      </x:c>
      <x:c r="C11" s="14" t="str">
        <x:v>Lamron Analysts</x:v>
      </x:c>
      <x:c r="D11" s="14" t="str">
        <x:v>LMRNM_0005</x:v>
      </x:c>
      <x:c r="E11" s="14" t="str">
        <x:v>Title and listing description</x:v>
      </x:c>
    </x:row>
    <x:row r="12" ht="38" customHeight="1">
      <x:c r="A12" s="14" t="str">
        <x:v>IT, software &amp; digital platforms</x:v>
      </x:c>
      <x:c r="B12" s="14" t="str">
        <x:v>India Tech Titans Theme</x:v>
      </x:c>
      <x:c r="C12" s="14" t="str">
        <x:v>Ethical Advisers</x:v>
      </x:c>
      <x:c r="D12" s="14" t="str">
        <x:v>EHANM_0020</x:v>
      </x:c>
      <x:c r="E12" s="14" t="str">
        <x:v>Title and listing description</x:v>
      </x:c>
    </x:row>
    <x:row r="13" ht="38" customHeight="1">
      <x:c r="A13" s="14" t="str">
        <x:v>IT, software &amp; digital platforms</x:v>
      </x:c>
      <x:c r="B13" s="14" t="str">
        <x:v>Digital India Theme</x:v>
      </x:c>
      <x:c r="C13" s="14" t="str">
        <x:v>Quantace Research</x:v>
      </x:c>
      <x:c r="D13" s="14" t="str">
        <x:v>QURENM_0002</x:v>
      </x:c>
      <x:c r="E13" s="14" t="str">
        <x:v>Title and listing description</x:v>
      </x:c>
    </x:row>
    <x:row r="14" ht="38" customHeight="1">
      <x:c r="A14" s="14" t="str">
        <x:v>IT, software &amp; digital platforms</x:v>
      </x:c>
      <x:c r="B14" s="14" t="str">
        <x:v>Service Stars Tracker</x:v>
      </x:c>
      <x:c r="C14" s="14" t="str">
        <x:v>Quantace Research</x:v>
      </x:c>
      <x:c r="D14" s="14" t="str">
        <x:v>QURENM_0007</x:v>
      </x:c>
      <x:c r="E14" s="14" t="str">
        <x:v>Public detail-page investment rationale</x:v>
      </x:c>
    </x:row>
    <x:row r="15" ht="38" customHeight="1">
      <x:c r="A15" s="14" t="str">
        <x:v>IT, software &amp; digital platforms</x:v>
      </x:c>
      <x:c r="B15" s="14" t="str">
        <x:v>MMG Vision 2028 smallcase Theme</x:v>
      </x:c>
      <x:c r="C15" s="14" t="str">
        <x:v>My Money Guru</x:v>
      </x:c>
      <x:c r="D15" s="14" t="str">
        <x:v>MYMONM_0003</x:v>
      </x:c>
      <x:c r="E15" s="14" t="str">
        <x:v>Public detail-page investment rationale</x:v>
      </x:c>
    </x:row>
    <x:row r="16" ht="38" customHeight="1">
      <x:c r="A16" s="14" t="str">
        <x:v>IT, software &amp; digital platforms</x:v>
      </x:c>
      <x:c r="B16" s="14" t="str">
        <x:v>SR TECNOLOGY Tracker</x:v>
      </x:c>
      <x:c r="C16" s="14" t="str">
        <x:v>SR WEALTH ELITE</x:v>
      </x:c>
      <x:c r="D16" s="14" t="str">
        <x:v>LOSETR_0001</x:v>
      </x:c>
      <x:c r="E16" s="14" t="str">
        <x:v>Title and listing description</x:v>
      </x:c>
    </x:row>
    <x:row r="17" ht="38" customHeight="1">
      <x:c r="A17" s="14" t="str">
        <x:v>IT, software &amp; digital platforms</x:v>
      </x:c>
      <x:c r="B17" s="14" t="str">
        <x:v>SB Riveting IT Portfolio Tracker</x:v>
      </x:c>
      <x:c r="C17" s="14" t="str">
        <x:v>stockbox</x:v>
      </x:c>
      <x:c r="D17" s="14" t="str">
        <x:v>STBXNM_0002</x:v>
      </x:c>
      <x:c r="E17" s="14" t="str">
        <x:v>Title and listing description</x:v>
      </x:c>
    </x:row>
    <x:row r="18" ht="38" customHeight="1">
      <x:c r="A18" s="14" t="str">
        <x:v>IT, software &amp; digital platforms</x:v>
      </x:c>
      <x:c r="B18" s="14" t="str">
        <x:v>Wright Innovation Theme</x:v>
      </x:c>
      <x:c r="C18" s="14" t="str">
        <x:v>Wright Research</x:v>
      </x:c>
      <x:c r="D18" s="14" t="str">
        <x:v>WRTNM_0004</x:v>
      </x:c>
      <x:c r="E18" s="14" t="str">
        <x:v>Public detail-page investment rationale</x:v>
      </x:c>
    </x:row>
    <x:row r="19" ht="38" customHeight="1">
      <x:c r="A19" s="14" t="str">
        <x:v>IT, software &amp; digital platforms</x:v>
      </x:c>
      <x:c r="B19" s="14" t="str">
        <x:v>CWA HFT - Healthcare, FMCG &amp; Technology Theme</x:v>
      </x:c>
      <x:c r="C19" s="14" t="str">
        <x:v>Compounding Wealth Advisors</x:v>
      </x:c>
      <x:c r="D19" s="14" t="str">
        <x:v>COWANM_0004</x:v>
      </x:c>
      <x:c r="E19" s="14" t="str">
        <x:v>Title and listing description</x:v>
      </x:c>
    </x:row>
    <x:row r="20" ht="38" customHeight="1">
      <x:c r="A20" s="14" t="str">
        <x:v>IT, software &amp; digital platforms</x:v>
      </x:c>
      <x:c r="B20" s="14" t="str">
        <x:v>SR New Agr-Tech Theme</x:v>
      </x:c>
      <x:c r="C20" s="14" t="str">
        <x:v>SR WEALTH ELITE</x:v>
      </x:c>
      <x:c r="D20" s="14" t="str">
        <x:v>LOSENM_0004</x:v>
      </x:c>
      <x:c r="E20" s="14" t="str">
        <x:v>Title and listing description</x:v>
      </x:c>
    </x:row>
    <x:row r="21" ht="38" customHeight="1">
      <x:c r="A21" s="14" t="str">
        <x:v>IT, software &amp; digital platforms</x:v>
      </x:c>
      <x:c r="B21" s="14" t="str">
        <x:v>Sunrise Sectors Theme</x:v>
      </x:c>
      <x:c r="C21" s="14" t="str">
        <x:v>Paterson</x:v>
      </x:c>
      <x:c r="D21" s="14" t="str">
        <x:v>RUPENM_0017</x:v>
      </x:c>
      <x:c r="E21" s="14" t="str">
        <x:v>Public detail-page investment rationale</x:v>
      </x:c>
    </x:row>
    <x:row r="22" ht="38" customHeight="1">
      <x:c r="A22" s="14" t="str">
        <x:v>IT, software &amp; digital platforms</x:v>
      </x:c>
      <x:c r="B22" s="14" t="str">
        <x:v>Viksit Vision Theme</x:v>
      </x:c>
      <x:c r="C22" s="14" t="str">
        <x:v>INVEST4EDU PRIVATE LIMITED</x:v>
      </x:c>
      <x:c r="D22" s="14" t="str">
        <x:v>IEDUNM_0001</x:v>
      </x:c>
      <x:c r="E22" s="14" t="str">
        <x:v>Public detail-page investment rationale</x:v>
      </x:c>
    </x:row>
    <x:row r="23" ht="38" customHeight="1">
      <x:c r="A23" s="14" t="str">
        <x:v>IT, software &amp; digital platforms</x:v>
      </x:c>
      <x:c r="B23" s="14" t="str">
        <x:v>Bharat Tech Infra Tracker</x:v>
      </x:c>
      <x:c r="C23" s="14" t="str">
        <x:v>Green Portfolio</x:v>
      </x:c>
      <x:c r="D23" s="14" t="str">
        <x:v>GPRTR_0001</x:v>
      </x:c>
      <x:c r="E23" s="14" t="str">
        <x:v>Title and listing description</x:v>
      </x:c>
    </x:row>
    <x:row r="24" ht="38" customHeight="1">
      <x:c r="A24" s="14" t="str">
        <x:v>IT, software &amp; digital platforms</x:v>
      </x:c>
      <x:c r="B24" s="14" t="str">
        <x:v>EquiBoost NextGen Theme</x:v>
      </x:c>
      <x:c r="C24" s="14" t="str">
        <x:v>Equiboost Finserv Private Limited</x:v>
      </x:c>
      <x:c r="D24" s="14" t="str">
        <x:v>EBFSNM_0007</x:v>
      </x:c>
      <x:c r="E24" s="14" t="str">
        <x:v>Title and listing description</x:v>
      </x:c>
    </x:row>
    <x:row r="25" ht="38" customHeight="1">
      <x:c r="A25" s="14" t="str">
        <x:v>IT, software &amp; digital platforms</x:v>
      </x:c>
      <x:c r="B25" s="14" t="str">
        <x:v>Nirivantes TechWave Select Theme</x:v>
      </x:c>
      <x:c r="C25" s="14" t="str">
        <x:v>NIRIVANTES RESEARCH</x:v>
      </x:c>
      <x:c r="D25" s="14" t="str">
        <x:v>NVNTNM_0001</x:v>
      </x:c>
      <x:c r="E25" s="14" t="str">
        <x:v>Title and listing description</x:v>
      </x:c>
    </x:row>
    <x:row r="26" ht="38" customHeight="1">
      <x:c r="A26" s="14" t="str">
        <x:v>IT, software &amp; digital platforms</x:v>
      </x:c>
      <x:c r="B26" s="14" t="str">
        <x:v>Omni FinTech, Digital Banking &amp; Payments. Theme</x:v>
      </x:c>
      <x:c r="C26" s="14" t="str">
        <x:v>Omniscience Capital</x:v>
      </x:c>
      <x:c r="D26" s="14" t="str">
        <x:v>OMNNM_0015</x:v>
      </x:c>
      <x:c r="E26" s="14" t="str">
        <x:v>Title and listing description</x:v>
      </x:c>
    </x:row>
    <x:row r="27" ht="38" customHeight="1">
      <x:c r="A27" s="14" t="str">
        <x:v>Banks &amp; NBFCs</x:v>
      </x:c>
      <x:c r="B27" s="14" t="str">
        <x:v>Banking Tracker</x:v>
      </x:c>
      <x:c r="C27" s="14" t="str">
        <x:v>Windmill Capital</x:v>
      </x:c>
      <x:c r="D27" s="14" t="str">
        <x:v>SCTR_0002</x:v>
      </x:c>
      <x:c r="E27" s="14" t="str">
        <x:v>Title and listing description</x:v>
      </x:c>
    </x:row>
    <x:row r="28" ht="38" customHeight="1">
      <x:c r="A28" s="14" t="str">
        <x:v>Banks &amp; NBFCs</x:v>
      </x:c>
      <x:c r="B28" s="14" t="str">
        <x:v>Banking Privately Theme</x:v>
      </x:c>
      <x:c r="C28" s="14" t="str">
        <x:v>Windmill Capital</x:v>
      </x:c>
      <x:c r="D28" s="14" t="str">
        <x:v>SCNM_0008</x:v>
      </x:c>
      <x:c r="E28" s="14" t="str">
        <x:v>Title and listing description</x:v>
      </x:c>
    </x:row>
    <x:row r="29" ht="38" customHeight="1">
      <x:c r="A29" s="14" t="str">
        <x:v>Banks &amp; NBFCs</x:v>
      </x:c>
      <x:c r="B29" s="14" t="str">
        <x:v>Banking &amp; Beyond Tracker</x:v>
      </x:c>
      <x:c r="C29" s="14" t="str">
        <x:v>StoxBazar</x:v>
      </x:c>
      <x:c r="D29" s="14" t="str">
        <x:v>STBATR_0001</x:v>
      </x:c>
      <x:c r="E29" s="14" t="str">
        <x:v>Title and listing description</x:v>
      </x:c>
    </x:row>
    <x:row r="30" ht="38" customHeight="1">
      <x:c r="A30" s="14" t="str">
        <x:v>Banks &amp; NBFCs</x:v>
      </x:c>
      <x:c r="B30" s="14" t="str">
        <x:v>Banking Stars Tracker</x:v>
      </x:c>
      <x:c r="C30" s="14" t="str">
        <x:v>Quantace Research</x:v>
      </x:c>
      <x:c r="D30" s="14" t="str">
        <x:v>QURETR_0001</x:v>
      </x:c>
      <x:c r="E30" s="14" t="str">
        <x:v>Title and listing description</x:v>
      </x:c>
    </x:row>
    <x:row r="31" ht="38" customHeight="1">
      <x:c r="A31" s="14" t="str">
        <x:v>Banks &amp; NBFCs</x:v>
      </x:c>
      <x:c r="B31" s="14" t="str">
        <x:v>Ikashi Emerging India Theme</x:v>
      </x:c>
      <x:c r="C31" s="14" t="str">
        <x:v>IKASHI FINTECH PRIVATE LIMITED</x:v>
      </x:c>
      <x:c r="D31" s="14" t="str">
        <x:v>IFPLNM_0002</x:v>
      </x:c>
      <x:c r="E31" s="14" t="str">
        <x:v>Public detail-page investment rationale</x:v>
      </x:c>
    </x:row>
    <x:row r="32" ht="38" customHeight="1">
      <x:c r="A32" s="14" t="str">
        <x:v>Banks &amp; NBFCs</x:v>
      </x:c>
      <x:c r="B32" s="14" t="str">
        <x:v>PSU Bank Stars Tracker</x:v>
      </x:c>
      <x:c r="C32" s="14" t="str">
        <x:v>Quantace Research</x:v>
      </x:c>
      <x:c r="D32" s="14" t="str">
        <x:v>QURETR_0012</x:v>
      </x:c>
      <x:c r="E32" s="14" t="str">
        <x:v>Title and listing description</x:v>
      </x:c>
    </x:row>
    <x:row r="33" ht="38" customHeight="1">
      <x:c r="A33" s="14" t="str">
        <x:v>Banks &amp; NBFCs</x:v>
      </x:c>
      <x:c r="B33" s="14" t="str">
        <x:v>Omni Banking on Growth Theme</x:v>
      </x:c>
      <x:c r="C33" s="14" t="str">
        <x:v>Omniscience Capital</x:v>
      </x:c>
      <x:c r="D33" s="14" t="str">
        <x:v>OMNNM_0022</x:v>
      </x:c>
      <x:c r="E33" s="14" t="str">
        <x:v>Title and listing description</x:v>
      </x:c>
    </x:row>
    <x:row r="34" ht="38" customHeight="1">
      <x:c r="A34" s="14" t="str">
        <x:v>Banks &amp; NBFCs</x:v>
      </x:c>
      <x:c r="B34" s="14" t="str">
        <x:v>GVSR-NBFC Segment-Value - V Buys Theme</x:v>
      </x:c>
      <x:c r="C34" s="14" t="str">
        <x:v>GVSRwealth</x:v>
      </x:c>
      <x:c r="D34" s="14" t="str">
        <x:v>GVSRTR_0003</x:v>
      </x:c>
      <x:c r="E34" s="14" t="str">
        <x:v>Title and listing description</x:v>
      </x:c>
    </x:row>
    <x:row r="35" ht="38" customHeight="1">
      <x:c r="A35" s="14" t="str">
        <x:v>Banks &amp; NBFCs</x:v>
      </x:c>
      <x:c r="B35" s="14" t="str">
        <x:v>EquiSecure Theme</x:v>
      </x:c>
      <x:c r="C35" s="14" t="str">
        <x:v>Equivision Consulting</x:v>
      </x:c>
      <x:c r="D35" s="14" t="str">
        <x:v>EREQMO_0005</x:v>
      </x:c>
      <x:c r="E35" s="14" t="str">
        <x:v>Title and listing description</x:v>
      </x:c>
    </x:row>
    <x:row r="36" ht="38" customHeight="1">
      <x:c r="A36" s="14" t="str">
        <x:v>Banks &amp; NBFCs</x:v>
      </x:c>
      <x:c r="B36" s="14" t="str">
        <x:v>Arth Private Banks Theme</x:v>
      </x:c>
      <x:c r="C36" s="14" t="str">
        <x:v>Arthscience Capital Research Private Limited</x:v>
      </x:c>
      <x:c r="D36" s="14" t="str">
        <x:v>ASCRNM_0002</x:v>
      </x:c>
      <x:c r="E36" s="14" t="str">
        <x:v>Title and listing description</x:v>
      </x:c>
    </x:row>
    <x:row r="37" ht="38" customHeight="1">
      <x:c r="A37" s="14" t="str">
        <x:v>Banks &amp; NBFCs</x:v>
      </x:c>
      <x:c r="B37" s="14" t="str">
        <x:v>Arth PSU Banks Theme</x:v>
      </x:c>
      <x:c r="C37" s="14" t="str">
        <x:v>Arthscience Capital Research Private Limited</x:v>
      </x:c>
      <x:c r="D37" s="14" t="str">
        <x:v>ASCRNM_0003</x:v>
      </x:c>
      <x:c r="E37" s="14" t="str">
        <x:v>Title and listing description</x:v>
      </x:c>
    </x:row>
    <x:row r="38" ht="38" customHeight="1">
      <x:c r="A38" s="14" t="str">
        <x:v>Banks &amp; NBFCs</x:v>
      </x:c>
      <x:c r="B38" s="14" t="str">
        <x:v>Arth Housing Finance Theme</x:v>
      </x:c>
      <x:c r="C38" s="14" t="str">
        <x:v>Arthscience Capital Research Private Limited</x:v>
      </x:c>
      <x:c r="D38" s="14" t="str">
        <x:v>ASCRNM_0004</x:v>
      </x:c>
      <x:c r="E38" s="14" t="str">
        <x:v>Title and listing description</x:v>
      </x:c>
    </x:row>
    <x:row r="39" ht="38" customHeight="1">
      <x:c r="A39" s="14" t="str">
        <x:v>Banks &amp; NBFCs</x:v>
      </x:c>
      <x:c r="B39" s="14" t="str">
        <x:v>Arth Infra NBFC Theme</x:v>
      </x:c>
      <x:c r="C39" s="14" t="str">
        <x:v>Arthscience Capital Research Private Limited</x:v>
      </x:c>
      <x:c r="D39" s="14" t="str">
        <x:v>ASCRNM_0009</x:v>
      </x:c>
      <x:c r="E39" s="14" t="str">
        <x:v>Title and listing description</x:v>
      </x:c>
    </x:row>
    <x:row r="40" ht="38" customHeight="1">
      <x:c r="A40" s="14" t="str">
        <x:v>Banks &amp; NBFCs</x:v>
      </x:c>
      <x:c r="B40" s="14" t="str">
        <x:v>Bullcapital FinEdge Theme</x:v>
      </x:c>
      <x:c r="C40" s="14" t="str">
        <x:v>Bullcapital</x:v>
      </x:c>
      <x:c r="D40" s="14" t="str">
        <x:v>BULCTR_0001</x:v>
      </x:c>
      <x:c r="E40" s="14" t="str">
        <x:v>Title and listing description</x:v>
      </x:c>
    </x:row>
    <x:row r="41" ht="38" customHeight="1">
      <x:c r="A41" s="14" t="str">
        <x:v>Banks &amp; NBFCs</x:v>
      </x:c>
      <x:c r="B41" s="14" t="str">
        <x:v>EquiBoost PSU Banks &amp; NBFCs Theme</x:v>
      </x:c>
      <x:c r="C41" s="14" t="str">
        <x:v>Equiboost Finserv Private Limited</x:v>
      </x:c>
      <x:c r="D41" s="14" t="str">
        <x:v>EBFSNM_0006</x:v>
      </x:c>
      <x:c r="E41" s="14" t="str">
        <x:v>Title and listing description</x:v>
      </x:c>
    </x:row>
    <x:row r="42" ht="38" customHeight="1">
      <x:c r="A42" s="14" t="str">
        <x:v>Banks &amp; NBFCs</x:v>
      </x:c>
      <x:c r="B42" s="14" t="str">
        <x:v>Cherrypicked PSU Financials Theme</x:v>
      </x:c>
      <x:c r="C42" s="14" t="str">
        <x:v>Ethical Advisers</x:v>
      </x:c>
      <x:c r="D42" s="14" t="str">
        <x:v>EHANM_0009</x:v>
      </x:c>
      <x:c r="E42" s="14" t="str">
        <x:v>Title and listing description</x:v>
      </x:c>
    </x:row>
    <x:row r="43" ht="38" customHeight="1">
      <x:c r="A43" s="14" t="str">
        <x:v>Automobiles, EVs &amp; components</x:v>
      </x:c>
      <x:c r="B43" s="14" t="str">
        <x:v>Electric Mobility Theme</x:v>
      </x:c>
      <x:c r="C43" s="14" t="str">
        <x:v>Windmill Capital</x:v>
      </x:c>
      <x:c r="D43" s="14" t="str">
        <x:v>SCNM_0025</x:v>
      </x:c>
      <x:c r="E43" s="14" t="str">
        <x:v>Title and listing description</x:v>
      </x:c>
    </x:row>
    <x:row r="44" ht="38" customHeight="1">
      <x:c r="A44" s="14" t="str">
        <x:v>Automobiles, EVs &amp; components</x:v>
      </x:c>
      <x:c r="B44" s="14" t="str">
        <x:v>Auto Tracker</x:v>
      </x:c>
      <x:c r="C44" s="14" t="str">
        <x:v>Windmill Capital</x:v>
      </x:c>
      <x:c r="D44" s="14" t="str">
        <x:v>SCTR_0001</x:v>
      </x:c>
      <x:c r="E44" s="14" t="str">
        <x:v>Title and listing description</x:v>
      </x:c>
    </x:row>
    <x:row r="45" ht="38" customHeight="1">
      <x:c r="A45" s="14" t="str">
        <x:v>Automobiles, EVs &amp; components</x:v>
      </x:c>
      <x:c r="B45" s="14" t="str">
        <x:v>Ikashi Emerging India Theme</x:v>
      </x:c>
      <x:c r="C45" s="14" t="str">
        <x:v>IKASHI FINTECH PRIVATE LIMITED</x:v>
      </x:c>
      <x:c r="D45" s="14" t="str">
        <x:v>IFPLNM_0002</x:v>
      </x:c>
      <x:c r="E45" s="14" t="str">
        <x:v>Public detail-page investment rationale</x:v>
      </x:c>
    </x:row>
    <x:row r="46" ht="38" customHeight="1">
      <x:c r="A46" s="14" t="str">
        <x:v>Automobiles, EVs &amp; components</x:v>
      </x:c>
      <x:c r="B46" s="14" t="str">
        <x:v>Pollution Free India - EV Theme</x:v>
      </x:c>
      <x:c r="C46" s="14" t="str">
        <x:v>stockbox</x:v>
      </x:c>
      <x:c r="D46" s="14" t="str">
        <x:v>STBXTR_0001</x:v>
      </x:c>
      <x:c r="E46" s="14" t="str">
        <x:v>Title and listing description</x:v>
      </x:c>
    </x:row>
    <x:row r="47" ht="38" customHeight="1">
      <x:c r="A47" s="14" t="str">
        <x:v>Automobiles, EVs &amp; components</x:v>
      </x:c>
      <x:c r="B47" s="14" t="str">
        <x:v>Omni Future of Mobility. Theme</x:v>
      </x:c>
      <x:c r="C47" s="14" t="str">
        <x:v>Omniscience Capital</x:v>
      </x:c>
      <x:c r="D47" s="14" t="str">
        <x:v>OMNNM_0019</x:v>
      </x:c>
      <x:c r="E47" s="14" t="str">
        <x:v>Title and listing description</x:v>
      </x:c>
    </x:row>
    <x:row r="48" ht="38" customHeight="1">
      <x:c r="A48" s="14" t="str">
        <x:v>Automobiles, EVs &amp; components</x:v>
      </x:c>
      <x:c r="B48" s="14" t="str">
        <x:v>Auto Pack - Stepping Up the Gear Theme</x:v>
      </x:c>
      <x:c r="C48" s="14" t="str">
        <x:v>Ethical Advisers</x:v>
      </x:c>
      <x:c r="D48" s="14" t="str">
        <x:v>EHAMO_0002</x:v>
      </x:c>
      <x:c r="E48" s="14" t="str">
        <x:v>Title and listing description</x:v>
      </x:c>
    </x:row>
    <x:row r="49" ht="38" customHeight="1">
      <x:c r="A49" s="14" t="str">
        <x:v>Automobiles, EVs &amp; components</x:v>
      </x:c>
      <x:c r="B49" s="14" t="str">
        <x:v>India Mobility Theme</x:v>
      </x:c>
      <x:c r="C49" s="14" t="str">
        <x:v>Quantace Research</x:v>
      </x:c>
      <x:c r="D49" s="14" t="str">
        <x:v>QURENM_0006</x:v>
      </x:c>
      <x:c r="E49" s="14" t="str">
        <x:v>Title and listing description</x:v>
      </x:c>
    </x:row>
    <x:row r="50" ht="38" customHeight="1">
      <x:c r="A50" s="14" t="str">
        <x:v>Automobiles, EVs &amp; components</x:v>
      </x:c>
      <x:c r="B50" s="14" t="str">
        <x:v>MMG Green Energy &amp; EV smallcase Theme</x:v>
      </x:c>
      <x:c r="C50" s="14" t="str">
        <x:v>My Money Guru</x:v>
      </x:c>
      <x:c r="D50" s="14" t="str">
        <x:v>MYMONM_0002</x:v>
      </x:c>
      <x:c r="E50" s="14" t="str">
        <x:v>Title and listing description</x:v>
      </x:c>
    </x:row>
    <x:row r="51" ht="38" customHeight="1">
      <x:c r="A51" s="14" t="str">
        <x:v>Automobiles, EVs &amp; components</x:v>
      </x:c>
      <x:c r="B51" s="14" t="str">
        <x:v>MMG Vision 2028 smallcase Theme</x:v>
      </x:c>
      <x:c r="C51" s="14" t="str">
        <x:v>My Money Guru</x:v>
      </x:c>
      <x:c r="D51" s="14" t="str">
        <x:v>MYMONM_0003</x:v>
      </x:c>
      <x:c r="E51" s="14" t="str">
        <x:v>Public detail-page investment rationale</x:v>
      </x:c>
    </x:row>
    <x:row r="52" ht="38" customHeight="1">
      <x:c r="A52" s="14" t="str">
        <x:v>Automobiles, EVs &amp; components</x:v>
      </x:c>
      <x:c r="B52" s="14" t="str">
        <x:v>Auto Ancillaries Theme</x:v>
      </x:c>
      <x:c r="C52" s="14" t="str">
        <x:v>Agility Advisors</x:v>
      </x:c>
      <x:c r="D52" s="14" t="str">
        <x:v>YEJNM_0005</x:v>
      </x:c>
      <x:c r="E52" s="14" t="str">
        <x:v>Title and listing description</x:v>
      </x:c>
    </x:row>
    <x:row r="53" ht="38" customHeight="1">
      <x:c r="A53" s="14" t="str">
        <x:v>Automobiles, EVs &amp; components</x:v>
      </x:c>
      <x:c r="B53" s="14" t="str">
        <x:v>Wright Innovation Theme</x:v>
      </x:c>
      <x:c r="C53" s="14" t="str">
        <x:v>Wright Research</x:v>
      </x:c>
      <x:c r="D53" s="14" t="str">
        <x:v>WRTNM_0004</x:v>
      </x:c>
      <x:c r="E53" s="14" t="str">
        <x:v>Public detail-page investment rationale</x:v>
      </x:c>
    </x:row>
    <x:row r="54" ht="38" customHeight="1">
      <x:c r="A54" s="14" t="str">
        <x:v>Automobiles, EVs &amp; components</x:v>
      </x:c>
      <x:c r="B54" s="14" t="str">
        <x:v>Auto Advantage Tracker</x:v>
      </x:c>
      <x:c r="C54" s="14" t="str">
        <x:v>Green Portfolio</x:v>
      </x:c>
      <x:c r="D54" s="14" t="str">
        <x:v>GPRNM_0013</x:v>
      </x:c>
      <x:c r="E54" s="14" t="str">
        <x:v>Title and listing description</x:v>
      </x:c>
    </x:row>
    <x:row r="55" ht="38" customHeight="1">
      <x:c r="A55" s="14" t="str">
        <x:v>Automobiles, EVs &amp; components</x:v>
      </x:c>
      <x:c r="B55" s="14" t="str">
        <x:v>EquiSecure Theme</x:v>
      </x:c>
      <x:c r="C55" s="14" t="str">
        <x:v>Equivision Consulting</x:v>
      </x:c>
      <x:c r="D55" s="14" t="str">
        <x:v>EREQMO_0005</x:v>
      </x:c>
      <x:c r="E55" s="14" t="str">
        <x:v>Title and listing description</x:v>
      </x:c>
    </x:row>
    <x:row r="56" ht="38" customHeight="1">
      <x:c r="A56" s="14" t="str">
        <x:v>Automobiles, EVs &amp; components</x:v>
      </x:c>
      <x:c r="B56" s="14" t="str">
        <x:v>Sunrise Sectors Theme</x:v>
      </x:c>
      <x:c r="C56" s="14" t="str">
        <x:v>Paterson</x:v>
      </x:c>
      <x:c r="D56" s="14" t="str">
        <x:v>RUPENM_0017</x:v>
      </x:c>
      <x:c r="E56" s="14" t="str">
        <x:v>Public detail-page investment rationale</x:v>
      </x:c>
    </x:row>
    <x:row r="57" ht="38" customHeight="1">
      <x:c r="A57" s="14" t="str">
        <x:v>Automobiles, EVs &amp; components</x:v>
      </x:c>
      <x:c r="B57" s="14" t="str">
        <x:v>Auto Stars Tracker</x:v>
      </x:c>
      <x:c r="C57" s="14" t="str">
        <x:v>Quantace Research</x:v>
      </x:c>
      <x:c r="D57" s="14" t="str">
        <x:v>QUREMO_0023</x:v>
      </x:c>
      <x:c r="E57" s="14" t="str">
        <x:v>Title and listing description</x:v>
      </x:c>
    </x:row>
    <x:row r="58" ht="38" customHeight="1">
      <x:c r="A58" s="14" t="str">
        <x:v>AI, data centres &amp; digital infrastructure</x:v>
      </x:c>
      <x:c r="B58" s="14" t="str">
        <x:v>Niveshaay TechStack Theme</x:v>
      </x:c>
      <x:c r="C58" s="14" t="str">
        <x:v>Niveshaay</x:v>
      </x:c>
      <x:c r="D58" s="14" t="str">
        <x:v>NIVNM_0003</x:v>
      </x:c>
      <x:c r="E58" s="14" t="str">
        <x:v>Title and listing description</x:v>
      </x:c>
    </x:row>
    <x:row r="59" ht="38" customHeight="1">
      <x:c r="A59" s="14" t="str">
        <x:v>AI, data centres &amp; digital infrastructure</x:v>
      </x:c>
      <x:c r="B59" s="14" t="str">
        <x:v>AI &amp; Data Center Theme</x:v>
      </x:c>
      <x:c r="C59" s="14" t="str">
        <x:v>Growth Investing</x:v>
      </x:c>
      <x:c r="D59" s="14" t="str">
        <x:v>GRINMX_0003</x:v>
      </x:c>
      <x:c r="E59" s="14" t="str">
        <x:v>Title and listing description</x:v>
      </x:c>
    </x:row>
    <x:row r="60" ht="38" customHeight="1">
      <x:c r="A60" s="14" t="str">
        <x:v>AI, data centres &amp; digital infrastructure</x:v>
      </x:c>
      <x:c r="B60" s="14" t="str">
        <x:v>AI &amp; Data Center Value Chain Theme</x:v>
      </x:c>
      <x:c r="C60" s="14" t="str">
        <x:v>Windmill Capital</x:v>
      </x:c>
      <x:c r="D60" s="14" t="str">
        <x:v>SCNM_0027</x:v>
      </x:c>
      <x:c r="E60" s="14" t="str">
        <x:v>Title and listing description</x:v>
      </x:c>
    </x:row>
    <x:row r="61" ht="38" customHeight="1">
      <x:c r="A61" s="14" t="str">
        <x:v>AI, data centres &amp; digital infrastructure</x:v>
      </x:c>
      <x:c r="B61" s="14" t="str">
        <x:v>Data Center Infra Specialists Theme</x:v>
      </x:c>
      <x:c r="C61" s="14" t="str">
        <x:v>Growth Investing</x:v>
      </x:c>
      <x:c r="D61" s="14" t="str">
        <x:v>GRINMX_0008</x:v>
      </x:c>
      <x:c r="E61" s="14" t="str">
        <x:v>Title and listing description</x:v>
      </x:c>
    </x:row>
    <x:row r="62" ht="38" customHeight="1">
      <x:c r="A62" s="14" t="str">
        <x:v>AI, data centres &amp; digital infrastructure</x:v>
      </x:c>
      <x:c r="B62" s="14" t="str">
        <x:v>Bharat Green Theme</x:v>
      </x:c>
      <x:c r="C62" s="14" t="str">
        <x:v>Samar Wealth</x:v>
      </x:c>
      <x:c r="D62" s="14" t="str">
        <x:v>SAWENM_0002</x:v>
      </x:c>
      <x:c r="E62" s="14" t="str">
        <x:v>Title and listing description</x:v>
      </x:c>
    </x:row>
    <x:row r="63" ht="38" customHeight="1">
      <x:c r="A63" s="14" t="str">
        <x:v>AI, data centres &amp; digital infrastructure</x:v>
      </x:c>
      <x:c r="B63" s="14" t="str">
        <x:v>Ikashi Emerging India Theme</x:v>
      </x:c>
      <x:c r="C63" s="14" t="str">
        <x:v>IKASHI FINTECH PRIVATE LIMITED</x:v>
      </x:c>
      <x:c r="D63" s="14" t="str">
        <x:v>IFPLNM_0002</x:v>
      </x:c>
      <x:c r="E63" s="14" t="str">
        <x:v>Public detail-page investment rationale</x:v>
      </x:c>
    </x:row>
    <x:row r="64" ht="38" customHeight="1">
      <x:c r="A64" s="14" t="str">
        <x:v>AI, data centres &amp; digital infrastructure</x:v>
      </x:c>
      <x:c r="B64" s="14" t="str">
        <x:v>Ikashi Data Centre Theme</x:v>
      </x:c>
      <x:c r="C64" s="14" t="str">
        <x:v>IKASHI FINTECH PRIVATE LIMITED</x:v>
      </x:c>
      <x:c r="D64" s="14" t="str">
        <x:v>IFPLNM_0005</x:v>
      </x:c>
      <x:c r="E64" s="14" t="str">
        <x:v>Title and listing description</x:v>
      </x:c>
    </x:row>
    <x:row r="65" ht="38" customHeight="1">
      <x:c r="A65" s="14" t="str">
        <x:v>AI, data centres &amp; digital infrastructure</x:v>
      </x:c>
      <x:c r="B65" s="14" t="str">
        <x:v>Divitiae AI &amp; Innovation Leaders Theme</x:v>
      </x:c>
      <x:c r="C65" s="14" t="str">
        <x:v>Divitiae Investments</x:v>
      </x:c>
      <x:c r="D65" s="14" t="str">
        <x:v>DIANNM_0003</x:v>
      </x:c>
      <x:c r="E65" s="14" t="str">
        <x:v>Title and listing description</x:v>
      </x:c>
    </x:row>
    <x:row r="66" ht="38" customHeight="1">
      <x:c r="A66" s="14" t="str">
        <x:v>AI, data centres &amp; digital infrastructure</x:v>
      </x:c>
      <x:c r="B66" s="14" t="str">
        <x:v>Omni AI-Tech Global-Artificial Intelligence Theme</x:v>
      </x:c>
      <x:c r="C66" s="14" t="str">
        <x:v>Omniscience Capital</x:v>
      </x:c>
      <x:c r="D66" s="14" t="str">
        <x:v>OMNNM_0014</x:v>
      </x:c>
      <x:c r="E66" s="14" t="str">
        <x:v>Title and listing description</x:v>
      </x:c>
    </x:row>
    <x:row r="67" ht="38" customHeight="1">
      <x:c r="A67" s="14" t="str">
        <x:v>AI, data centres &amp; digital infrastructure</x:v>
      </x:c>
      <x:c r="B67" s="14" t="str">
        <x:v>EquiSecure Theme</x:v>
      </x:c>
      <x:c r="C67" s="14" t="str">
        <x:v>Equivision Consulting</x:v>
      </x:c>
      <x:c r="D67" s="14" t="str">
        <x:v>EREQMO_0005</x:v>
      </x:c>
      <x:c r="E67" s="14" t="str">
        <x:v>Title and listing description</x:v>
      </x:c>
    </x:row>
    <x:row r="68" ht="38" customHeight="1">
      <x:c r="A68" s="14" t="str">
        <x:v>AI, data centres &amp; digital infrastructure</x:v>
      </x:c>
      <x:c r="B68" s="14" t="str">
        <x:v>SR New Agr-Tech Theme</x:v>
      </x:c>
      <x:c r="C68" s="14" t="str">
        <x:v>SR WEALTH ELITE</x:v>
      </x:c>
      <x:c r="D68" s="14" t="str">
        <x:v>LOSENM_0004</x:v>
      </x:c>
      <x:c r="E68" s="14" t="str">
        <x:v>Title and listing description</x:v>
      </x:c>
    </x:row>
    <x:row r="69" ht="38" customHeight="1">
      <x:c r="A69" s="14" t="str">
        <x:v>AI, data centres &amp; digital infrastructure</x:v>
      </x:c>
      <x:c r="B69" s="14" t="str">
        <x:v>Bharat Tech Infra Tracker</x:v>
      </x:c>
      <x:c r="C69" s="14" t="str">
        <x:v>Green Portfolio</x:v>
      </x:c>
      <x:c r="D69" s="14" t="str">
        <x:v>GPRTR_0001</x:v>
      </x:c>
      <x:c r="E69" s="14" t="str">
        <x:v>Title and listing description</x:v>
      </x:c>
    </x:row>
    <x:row r="70" ht="38" customHeight="1">
      <x:c r="A70" s="14" t="str">
        <x:v>AI, data centres &amp; digital infrastructure</x:v>
      </x:c>
      <x:c r="B70" s="14" t="str">
        <x:v>EquiBoost NextGen Theme</x:v>
      </x:c>
      <x:c r="C70" s="14" t="str">
        <x:v>Equiboost Finserv Private Limited</x:v>
      </x:c>
      <x:c r="D70" s="14" t="str">
        <x:v>EBFSNM_0007</x:v>
      </x:c>
      <x:c r="E70" s="14" t="str">
        <x:v>Title and listing description</x:v>
      </x:c>
    </x:row>
    <x:row r="71" ht="38" customHeight="1">
      <x:c r="A71" s="14" t="str">
        <x:v>AI, data centres &amp; digital infrastructure</x:v>
      </x:c>
      <x:c r="B71" s="14" t="str">
        <x:v>Nirivantes TechWave Select Theme</x:v>
      </x:c>
      <x:c r="C71" s="14" t="str">
        <x:v>NIRIVANTES RESEARCH</x:v>
      </x:c>
      <x:c r="D71" s="14" t="str">
        <x:v>NVNTNM_0001</x:v>
      </x:c>
      <x:c r="E71" s="14" t="str">
        <x:v>Title and listing description</x:v>
      </x:c>
    </x:row>
    <x:row r="72" ht="38" customHeight="1">
      <x:c r="A72" s="14" t="str">
        <x:v>Consumer, FMCG &amp; durables</x:v>
      </x:c>
      <x:c r="B72" s="14" t="str">
        <x:v>Rising Rural Demand Theme</x:v>
      </x:c>
      <x:c r="C72" s="14" t="str">
        <x:v>Windmill Capital</x:v>
      </x:c>
      <x:c r="D72" s="14" t="str">
        <x:v>SCNM_0012</x:v>
      </x:c>
      <x:c r="E72" s="14" t="str">
        <x:v>Title and listing description</x:v>
      </x:c>
    </x:row>
    <x:row r="73" ht="38" customHeight="1">
      <x:c r="A73" s="14" t="str">
        <x:v>Consumer, FMCG &amp; durables</x:v>
      </x:c>
      <x:c r="B73" s="14" t="str">
        <x:v>The Great Indian Middle Class Theme</x:v>
      </x:c>
      <x:c r="C73" s="14" t="str">
        <x:v>Windmill Capital</x:v>
      </x:c>
      <x:c r="D73" s="14" t="str">
        <x:v>SCNM_0010</x:v>
      </x:c>
      <x:c r="E73" s="14" t="str">
        <x:v>Title and listing description</x:v>
      </x:c>
    </x:row>
    <x:row r="74" ht="38" customHeight="1">
      <x:c r="A74" s="14" t="str">
        <x:v>Consumer, FMCG &amp; durables</x:v>
      </x:c>
      <x:c r="B74" s="14" t="str">
        <x:v>NRI-Core Consumption Compounders Fundamental</x:v>
      </x:c>
      <x:c r="C74" s="14" t="str">
        <x:v>INVEST4EDU PRIVATE LIMITED</x:v>
      </x:c>
      <x:c r="D74" s="14" t="str">
        <x:v>IEDUFMM_0002</x:v>
      </x:c>
      <x:c r="E74" s="14" t="str">
        <x:v>Title and listing description</x:v>
      </x:c>
    </x:row>
    <x:row r="75" ht="38" customHeight="1">
      <x:c r="A75" s="14" t="str">
        <x:v>Consumer, FMCG &amp; durables</x:v>
      </x:c>
      <x:c r="B75" s="14" t="str">
        <x:v>Core Consumption Compounders Theme</x:v>
      </x:c>
      <x:c r="C75" s="14" t="str">
        <x:v>INVEST4EDU PRIVATE LIMITED</x:v>
      </x:c>
      <x:c r="D75" s="14" t="str">
        <x:v>IEDUFMM_0001</x:v>
      </x:c>
      <x:c r="E75" s="14" t="str">
        <x:v>Title and listing description</x:v>
      </x:c>
    </x:row>
    <x:row r="76" ht="38" customHeight="1">
      <x:c r="A76" s="14" t="str">
        <x:v>Consumer, FMCG &amp; durables</x:v>
      </x:c>
      <x:c r="B76" s="14" t="str">
        <x:v>FMCG Tracker</x:v>
      </x:c>
      <x:c r="C76" s="14" t="str">
        <x:v>Windmill Capital</x:v>
      </x:c>
      <x:c r="D76" s="14" t="str">
        <x:v>SCTR_0004</x:v>
      </x:c>
      <x:c r="E76" s="14" t="str">
        <x:v>Title and listing description</x:v>
      </x:c>
    </x:row>
    <x:row r="77" ht="38" customHeight="1">
      <x:c r="A77" s="14" t="str">
        <x:v>Consumer, FMCG &amp; durables</x:v>
      </x:c>
      <x:c r="B77" s="14" t="str">
        <x:v>Bringing the Bling Theme</x:v>
      </x:c>
      <x:c r="C77" s="14" t="str">
        <x:v>Windmill Capital</x:v>
      </x:c>
      <x:c r="D77" s="14" t="str">
        <x:v>SCNM_0015</x:v>
      </x:c>
      <x:c r="E77" s="14" t="str">
        <x:v>Title and listing description</x:v>
      </x:c>
    </x:row>
    <x:row r="78" ht="38" customHeight="1">
      <x:c r="A78" s="14" t="str">
        <x:v>Consumer, FMCG &amp; durables</x:v>
      </x:c>
      <x:c r="B78" s="14" t="str">
        <x:v>Niveshaay Consumer Trends Portfolio Theme</x:v>
      </x:c>
      <x:c r="C78" s="14" t="str">
        <x:v>Niveshaay</x:v>
      </x:c>
      <x:c r="D78" s="14" t="str">
        <x:v>NIVNM_0002</x:v>
      </x:c>
      <x:c r="E78" s="14" t="str">
        <x:v>Title and listing description</x:v>
      </x:c>
    </x:row>
    <x:row r="79" ht="38" customHeight="1">
      <x:c r="A79" s="14" t="str">
        <x:v>Consumer, FMCG &amp; durables</x:v>
      </x:c>
      <x:c r="B79" s="14" t="str">
        <x:v>Brand Value Theme</x:v>
      </x:c>
      <x:c r="C79" s="14" t="str">
        <x:v>Windmill Capital</x:v>
      </x:c>
      <x:c r="D79" s="14" t="str">
        <x:v>SCNM_0007</x:v>
      </x:c>
      <x:c r="E79" s="14" t="str">
        <x:v>Title and listing description</x:v>
      </x:c>
    </x:row>
    <x:row r="80" ht="38" customHeight="1">
      <x:c r="A80" s="14" t="str">
        <x:v>Consumer, FMCG &amp; durables</x:v>
      </x:c>
      <x:c r="B80" s="14" t="str">
        <x:v>Consumer Durables Stars Tracker</x:v>
      </x:c>
      <x:c r="C80" s="14" t="str">
        <x:v>Quantace Research</x:v>
      </x:c>
      <x:c r="D80" s="14" t="str">
        <x:v>QURETR_0009</x:v>
      </x:c>
      <x:c r="E80" s="14" t="str">
        <x:v>Title and listing description</x:v>
      </x:c>
    </x:row>
    <x:row r="81" ht="38" customHeight="1">
      <x:c r="A81" s="14" t="str">
        <x:v>Consumer, FMCG &amp; durables</x:v>
      </x:c>
      <x:c r="B81" s="14" t="str">
        <x:v>Bharat Consumption Theme</x:v>
      </x:c>
      <x:c r="C81" s="14" t="str">
        <x:v>Quantace Research</x:v>
      </x:c>
      <x:c r="D81" s="14" t="str">
        <x:v>QURENM_0008</x:v>
      </x:c>
      <x:c r="E81" s="14" t="str">
        <x:v>Title and listing description</x:v>
      </x:c>
    </x:row>
    <x:row r="82" ht="38" customHeight="1">
      <x:c r="A82" s="14" t="str">
        <x:v>Consumer, FMCG &amp; durables</x:v>
      </x:c>
      <x:c r="B82" s="14" t="str">
        <x:v>CWA HFT - Healthcare, FMCG &amp; Technology Theme</x:v>
      </x:c>
      <x:c r="C82" s="14" t="str">
        <x:v>Compounding Wealth Advisors</x:v>
      </x:c>
      <x:c r="D82" s="14" t="str">
        <x:v>COWANM_0004</x:v>
      </x:c>
      <x:c r="E82" s="14" t="str">
        <x:v>Title and listing description</x:v>
      </x:c>
    </x:row>
    <x:row r="83" ht="38" customHeight="1">
      <x:c r="A83" s="14" t="str">
        <x:v>Consumer, FMCG &amp; durables</x:v>
      </x:c>
      <x:c r="B83" s="14" t="str">
        <x:v>Rural Theme</x:v>
      </x:c>
      <x:c r="C83" s="14" t="str">
        <x:v>Quantace Research</x:v>
      </x:c>
      <x:c r="D83" s="14" t="str">
        <x:v>QURENM_0013</x:v>
      </x:c>
      <x:c r="E83" s="14" t="str">
        <x:v>Title and listing description</x:v>
      </x:c>
    </x:row>
    <x:row r="84" ht="38" customHeight="1">
      <x:c r="A84" s="14" t="str">
        <x:v>Consumer, FMCG &amp; durables</x:v>
      </x:c>
      <x:c r="B84" s="14" t="str">
        <x:v>Wright Consumption Theme</x:v>
      </x:c>
      <x:c r="C84" s="14" t="str">
        <x:v>Wright Research</x:v>
      </x:c>
      <x:c r="D84" s="14" t="str">
        <x:v>WRTNM_0005</x:v>
      </x:c>
      <x:c r="E84" s="14" t="str">
        <x:v>Title and listing description</x:v>
      </x:c>
    </x:row>
    <x:row r="85" ht="38" customHeight="1">
      <x:c r="A85" s="14" t="str">
        <x:v>Consumer, FMCG &amp; durables</x:v>
      </x:c>
      <x:c r="B85" s="14" t="str">
        <x:v>FMCG Stars Tracker</x:v>
      </x:c>
      <x:c r="C85" s="14" t="str">
        <x:v>Quantace Research</x:v>
      </x:c>
      <x:c r="D85" s="14" t="str">
        <x:v>QURETR_0004</x:v>
      </x:c>
      <x:c r="E85" s="14" t="str">
        <x:v>Title and listing description</x:v>
      </x:c>
    </x:row>
    <x:row r="86" ht="38" customHeight="1">
      <x:c r="A86" s="14" t="str">
        <x:v>Defence &amp; aerospace</x:v>
      </x:c>
      <x:c r="B86" s="14" t="str">
        <x:v>Defence Stars Theme</x:v>
      </x:c>
      <x:c r="C86" s="14" t="str">
        <x:v>Quantace Research</x:v>
      </x:c>
      <x:c r="D86" s="14" t="str">
        <x:v>QURENM_0001</x:v>
      </x:c>
      <x:c r="E86" s="14" t="str">
        <x:v>Title and listing description</x:v>
      </x:c>
    </x:row>
    <x:row r="87" ht="38" customHeight="1">
      <x:c r="A87" s="14" t="str">
        <x:v>Defence &amp; aerospace</x:v>
      </x:c>
      <x:c r="B87" s="14" t="str">
        <x:v>Omni Bharat Defence Theme</x:v>
      </x:c>
      <x:c r="C87" s="14" t="str">
        <x:v>Omniscience Capital</x:v>
      </x:c>
      <x:c r="D87" s="14" t="str">
        <x:v>OMNNM_0012</x:v>
      </x:c>
      <x:c r="E87" s="14" t="str">
        <x:v>Title and listing description</x:v>
      </x:c>
    </x:row>
    <x:row r="88" ht="38" customHeight="1">
      <x:c r="A88" s="14" t="str">
        <x:v>Defence &amp; aerospace</x:v>
      </x:c>
      <x:c r="B88" s="14" t="str">
        <x:v>Railways &amp; Defence Tracker</x:v>
      </x:c>
      <x:c r="C88" s="14" t="str">
        <x:v>Agility Advisors</x:v>
      </x:c>
      <x:c r="D88" s="14" t="str">
        <x:v>YEJMO_0004</x:v>
      </x:c>
      <x:c r="E88" s="14" t="str">
        <x:v>Title and listing description</x:v>
      </x:c>
    </x:row>
    <x:row r="89" ht="38" customHeight="1">
      <x:c r="A89" s="14" t="str">
        <x:v>Defence &amp; aerospace</x:v>
      </x:c>
      <x:c r="B89" s="14" t="str">
        <x:v>CWA Defence Theme</x:v>
      </x:c>
      <x:c r="C89" s="14" t="str">
        <x:v>Compounding Wealth Advisors</x:v>
      </x:c>
      <x:c r="D89" s="14" t="str">
        <x:v>COWANM_0003</x:v>
      </x:c>
      <x:c r="E89" s="14" t="str">
        <x:v>Title and listing description</x:v>
      </x:c>
    </x:row>
    <x:row r="90" ht="38" customHeight="1">
      <x:c r="A90" s="14" t="str">
        <x:v>Defence &amp; aerospace</x:v>
      </x:c>
      <x:c r="B90" s="14" t="str">
        <x:v>Defence Picks Theme</x:v>
      </x:c>
      <x:c r="C90" s="14" t="str">
        <x:v>Windmill Capital</x:v>
      </x:c>
      <x:c r="D90" s="14" t="str">
        <x:v>SCMX_0002</x:v>
      </x:c>
      <x:c r="E90" s="14" t="str">
        <x:v>Title and listing description</x:v>
      </x:c>
    </x:row>
    <x:row r="91" ht="38" customHeight="1">
      <x:c r="A91" s="14" t="str">
        <x:v>Defence &amp; aerospace</x:v>
      </x:c>
      <x:c r="B91" s="14" t="str">
        <x:v>GDR - Green Energy, Defense, Railway Theme</x:v>
      </x:c>
      <x:c r="C91" s="14" t="str">
        <x:v>Green Portfolio</x:v>
      </x:c>
      <x:c r="D91" s="14" t="str">
        <x:v>GPRNM_0011</x:v>
      </x:c>
      <x:c r="E91" s="14" t="str">
        <x:v>Title and listing description</x:v>
      </x:c>
    </x:row>
    <x:row r="92" ht="38" customHeight="1">
      <x:c r="A92" s="14" t="str">
        <x:v>Defence &amp; aerospace</x:v>
      </x:c>
      <x:c r="B92" s="14" t="str">
        <x:v>Drone Growth Model</x:v>
      </x:c>
      <x:c r="C92" s="14" t="str">
        <x:v>Growth Investing</x:v>
      </x:c>
      <x:c r="D92" s="14" t="str">
        <x:v>GRINMX_0013</x:v>
      </x:c>
      <x:c r="E92" s="14" t="str">
        <x:v>Title and listing description</x:v>
      </x:c>
    </x:row>
    <x:row r="93" ht="38" customHeight="1">
      <x:c r="A93" s="14" t="str">
        <x:v>Defence &amp; aerospace</x:v>
      </x:c>
      <x:c r="B93" s="14" t="str">
        <x:v>CT Defence Compounders Theme</x:v>
      </x:c>
      <x:c r="C93" s="14" t="str">
        <x:v>CA Tapan Doshi</x:v>
      </x:c>
      <x:c r="D93" s="14" t="str">
        <x:v>THIVNM_0002</x:v>
      </x:c>
      <x:c r="E93" s="14" t="str">
        <x:v>Title and listing description</x:v>
      </x:c>
    </x:row>
    <x:row r="94" ht="38" customHeight="1">
      <x:c r="A94" s="14" t="str">
        <x:v>Defence &amp; aerospace</x:v>
      </x:c>
      <x:c r="B94" s="14" t="str">
        <x:v>Aviation &amp; Aerospace Quant</x:v>
      </x:c>
      <x:c r="C94" s="14" t="str">
        <x:v>Growth Investing</x:v>
      </x:c>
      <x:c r="D94" s="14" t="str">
        <x:v>GRINQM_0006</x:v>
      </x:c>
      <x:c r="E94" s="14" t="str">
        <x:v>Title and listing description</x:v>
      </x:c>
    </x:row>
    <x:row r="95" ht="38" customHeight="1">
      <x:c r="A95" s="14" t="str">
        <x:v>Defence &amp; aerospace</x:v>
      </x:c>
      <x:c r="B95" s="14" t="str">
        <x:v>FINZ Defence Basket Theme</x:v>
      </x:c>
      <x:c r="C95" s="14" t="str">
        <x:v>Finkhoz Roboadvisory Services Private Limited</x:v>
      </x:c>
      <x:c r="D95" s="14" t="str">
        <x:v>FIRONM_0003</x:v>
      </x:c>
      <x:c r="E95" s="14" t="str">
        <x:v>Title and listing description</x:v>
      </x:c>
    </x:row>
    <x:row r="96" ht="38" customHeight="1">
      <x:c r="A96" s="14" t="str">
        <x:v>Defence &amp; aerospace</x:v>
      </x:c>
      <x:c r="B96" s="14" t="str">
        <x:v>smartvalues - defense Theme</x:v>
      </x:c>
      <x:c r="C96" s="14" t="str">
        <x:v>Lamron Analysts</x:v>
      </x:c>
      <x:c r="D96" s="14" t="str">
        <x:v>LMRMO_0014</x:v>
      </x:c>
      <x:c r="E96" s="14" t="str">
        <x:v>Title and listing description</x:v>
      </x:c>
    </x:row>
    <x:row r="97" ht="38" customHeight="1">
      <x:c r="A97" s="14" t="str">
        <x:v>Defence &amp; aerospace</x:v>
      </x:c>
      <x:c r="B97" s="14" t="str">
        <x:v>The Daring Defence Pack Theme</x:v>
      </x:c>
      <x:c r="C97" s="14" t="str">
        <x:v>Ethical Advisers</x:v>
      </x:c>
      <x:c r="D97" s="14" t="str">
        <x:v>EHANM_0021</x:v>
      </x:c>
      <x:c r="E97" s="14" t="str">
        <x:v>Title and listing description</x:v>
      </x:c>
    </x:row>
    <x:row r="98" ht="38" customHeight="1">
      <x:c r="A98" s="14" t="str">
        <x:v>Defence &amp; aerospace</x:v>
      </x:c>
      <x:c r="B98" s="14" t="str">
        <x:v>GI Defence Titans Theme</x:v>
      </x:c>
      <x:c r="C98" s="14" t="str">
        <x:v>Growth Investing</x:v>
      </x:c>
      <x:c r="D98" s="14" t="str">
        <x:v>GRINNM_0001</x:v>
      </x:c>
      <x:c r="E98" s="14" t="str">
        <x:v>Title and listing description</x:v>
      </x:c>
    </x:row>
    <x:row r="99" ht="38" customHeight="1">
      <x:c r="A99" s="14" t="str">
        <x:v>Defence &amp; aerospace</x:v>
      </x:c>
      <x:c r="B99" s="14" t="str">
        <x:v>Finpire Strategic Defence Theme</x:v>
      </x:c>
      <x:c r="C99" s="14" t="str">
        <x:v>FINPIRE Capital Research</x:v>
      </x:c>
      <x:c r="D99" s="14" t="str">
        <x:v>FIINNM_0003</x:v>
      </x:c>
      <x:c r="E99" s="14" t="str">
        <x:v>Title and listing description</x:v>
      </x:c>
    </x:row>
    <x:row r="100" ht="38" customHeight="1">
      <x:c r="A100" s="14" t="str">
        <x:v>Pharma &amp; healthcare</x:v>
      </x:c>
      <x:c r="B100" s="14" t="str">
        <x:v>Pharma Tracker</x:v>
      </x:c>
      <x:c r="C100" s="14" t="str">
        <x:v>Windmill Capital</x:v>
      </x:c>
      <x:c r="D100" s="14" t="str">
        <x:v>SCTR_0009</x:v>
      </x:c>
      <x:c r="E100" s="14" t="str">
        <x:v>Title and listing description</x:v>
      </x:c>
    </x:row>
    <x:row r="101" ht="38" customHeight="1">
      <x:c r="A101" s="14" t="str">
        <x:v>Pharma &amp; healthcare</x:v>
      </x:c>
      <x:c r="B101" s="14" t="str">
        <x:v>Divitiae Healthcare Compounders Tracker</x:v>
      </x:c>
      <x:c r="C101" s="14" t="str">
        <x:v>Divitiae Investments</x:v>
      </x:c>
      <x:c r="D101" s="14" t="str">
        <x:v>DIANNM_0002</x:v>
      </x:c>
      <x:c r="E101" s="14" t="str">
        <x:v>Title and listing description</x:v>
      </x:c>
    </x:row>
    <x:row r="102" ht="38" customHeight="1">
      <x:c r="A102" s="14" t="str">
        <x:v>Pharma &amp; healthcare</x:v>
      </x:c>
      <x:c r="B102" s="14" t="str">
        <x:v>Healthcare Tracker</x:v>
      </x:c>
      <x:c r="C102" s="14" t="str">
        <x:v>Windmill Capital</x:v>
      </x:c>
      <x:c r="D102" s="14" t="str">
        <x:v>SCTR_0019</x:v>
      </x:c>
      <x:c r="E102" s="14" t="str">
        <x:v>Title and listing description</x:v>
      </x:c>
    </x:row>
    <x:row r="103" ht="38" customHeight="1">
      <x:c r="A103" s="14" t="str">
        <x:v>Pharma &amp; healthcare</x:v>
      </x:c>
      <x:c r="B103" s="14" t="str">
        <x:v>GVSR - Pharma Sector- Value buys Tracker</x:v>
      </x:c>
      <x:c r="C103" s="14" t="str">
        <x:v>GVSRwealth</x:v>
      </x:c>
      <x:c r="D103" s="14" t="str">
        <x:v>GVSRTR_0007</x:v>
      </x:c>
      <x:c r="E103" s="14" t="str">
        <x:v>Title and listing description</x:v>
      </x:c>
    </x:row>
    <x:row r="104" ht="38" customHeight="1">
      <x:c r="A104" s="14" t="str">
        <x:v>Pharma &amp; healthcare</x:v>
      </x:c>
      <x:c r="B104" s="14" t="str">
        <x:v>CT Pharma &amp; Hospitals Megatrend Theme</x:v>
      </x:c>
      <x:c r="C104" s="14" t="str">
        <x:v>CA Tapan Doshi</x:v>
      </x:c>
      <x:c r="D104" s="14" t="str">
        <x:v>THIVNM_0003</x:v>
      </x:c>
      <x:c r="E104" s="14" t="str">
        <x:v>Title and listing description</x:v>
      </x:c>
    </x:row>
    <x:row r="105" ht="38" customHeight="1">
      <x:c r="A105" s="14" t="str">
        <x:v>Pharma &amp; healthcare</x:v>
      </x:c>
      <x:c r="B105" s="14" t="str">
        <x:v>Pharma Stars Tracker</x:v>
      </x:c>
      <x:c r="C105" s="14" t="str">
        <x:v>Quantace Research</x:v>
      </x:c>
      <x:c r="D105" s="14" t="str">
        <x:v>QURETR_0006</x:v>
      </x:c>
      <x:c r="E105" s="14" t="str">
        <x:v>Title and listing description</x:v>
      </x:c>
    </x:row>
    <x:row r="106" ht="38" customHeight="1">
      <x:c r="A106" s="14" t="str">
        <x:v>Pharma &amp; healthcare</x:v>
      </x:c>
      <x:c r="B106" s="14" t="str">
        <x:v>MMG Vision 2028 smallcase Theme</x:v>
      </x:c>
      <x:c r="C106" s="14" t="str">
        <x:v>My Money Guru</x:v>
      </x:c>
      <x:c r="D106" s="14" t="str">
        <x:v>MYMONM_0003</x:v>
      </x:c>
      <x:c r="E106" s="14" t="str">
        <x:v>Public detail-page investment rationale</x:v>
      </x:c>
    </x:row>
    <x:row r="107" ht="38" customHeight="1">
      <x:c r="A107" s="14" t="str">
        <x:v>Pharma &amp; healthcare</x:v>
      </x:c>
      <x:c r="B107" s="14" t="str">
        <x:v>Wright Innovation Theme</x:v>
      </x:c>
      <x:c r="C107" s="14" t="str">
        <x:v>Wright Research</x:v>
      </x:c>
      <x:c r="D107" s="14" t="str">
        <x:v>WRTNM_0004</x:v>
      </x:c>
      <x:c r="E107" s="14" t="str">
        <x:v>Public detail-page investment rationale</x:v>
      </x:c>
    </x:row>
    <x:row r="108" ht="38" customHeight="1">
      <x:c r="A108" s="14" t="str">
        <x:v>Pharma &amp; healthcare</x:v>
      </x:c>
      <x:c r="B108" s="14" t="str">
        <x:v>Health is Wealth Theme</x:v>
      </x:c>
      <x:c r="C108" s="14" t="str">
        <x:v>Ethical Advisers</x:v>
      </x:c>
      <x:c r="D108" s="14" t="str">
        <x:v>EHANM_0018</x:v>
      </x:c>
      <x:c r="E108" s="14" t="str">
        <x:v>Title and listing description</x:v>
      </x:c>
    </x:row>
    <x:row r="109" ht="38" customHeight="1">
      <x:c r="A109" s="14" t="str">
        <x:v>Pharma &amp; healthcare</x:v>
      </x:c>
      <x:c r="B109" s="14" t="str">
        <x:v>Pharma Select Tracker</x:v>
      </x:c>
      <x:c r="C109" s="14" t="str">
        <x:v>Green Portfolio</x:v>
      </x:c>
      <x:c r="D109" s="14" t="str">
        <x:v>GPRNM_0012</x:v>
      </x:c>
      <x:c r="E109" s="14" t="str">
        <x:v>Title and listing description</x:v>
      </x:c>
    </x:row>
    <x:row r="110" ht="38" customHeight="1">
      <x:c r="A110" s="14" t="str">
        <x:v>Pharma &amp; healthcare</x:v>
      </x:c>
      <x:c r="B110" s="14" t="str">
        <x:v>CWA HFT - Healthcare, FMCG &amp; Technology Theme</x:v>
      </x:c>
      <x:c r="C110" s="14" t="str">
        <x:v>Compounding Wealth Advisors</x:v>
      </x:c>
      <x:c r="D110" s="14" t="str">
        <x:v>COWANM_0004</x:v>
      </x:c>
      <x:c r="E110" s="14" t="str">
        <x:v>Title and listing description</x:v>
      </x:c>
    </x:row>
    <x:row r="111" ht="38" customHeight="1">
      <x:c r="A111" s="14" t="str">
        <x:v>Pharma &amp; healthcare</x:v>
      </x:c>
      <x:c r="B111" s="14" t="str">
        <x:v>GI Healthcare Tracker</x:v>
      </x:c>
      <x:c r="C111" s="14" t="str">
        <x:v>Growth Investing</x:v>
      </x:c>
      <x:c r="D111" s="14" t="str">
        <x:v>GRINNM_0003</x:v>
      </x:c>
      <x:c r="E111" s="14" t="str">
        <x:v>Title and listing description</x:v>
      </x:c>
    </x:row>
    <x:row r="112" ht="38" customHeight="1">
      <x:c r="A112" s="14" t="str">
        <x:v>Pharma &amp; healthcare</x:v>
      </x:c>
      <x:c r="B112" s="14" t="str">
        <x:v>CWA Pharma Nextgen Theme</x:v>
      </x:c>
      <x:c r="C112" s="14" t="str">
        <x:v>Compounding Wealth Advisors</x:v>
      </x:c>
      <x:c r="D112" s="14" t="str">
        <x:v>COWANM_0006</x:v>
      </x:c>
      <x:c r="E112" s="14" t="str">
        <x:v>Title and listing description</x:v>
      </x:c>
    </x:row>
    <x:row r="113" ht="38" customHeight="1">
      <x:c r="A113" s="14" t="str">
        <x:v>Pharma &amp; healthcare</x:v>
      </x:c>
      <x:c r="B113" s="14" t="str">
        <x:v>EquiBoost Pharma &amp; Healthcare Theme</x:v>
      </x:c>
      <x:c r="C113" s="14" t="str">
        <x:v>Equiboost Finserv Private Limited</x:v>
      </x:c>
      <x:c r="D113" s="14" t="str">
        <x:v>EBFSNM_0004</x:v>
      </x:c>
      <x:c r="E113" s="14" t="str">
        <x:v>Title and listing description</x:v>
      </x:c>
    </x:row>
    <x:row r="114" ht="38" customHeight="1">
      <x:c r="A114" s="14" t="str">
        <x:v>Financial services &amp; fintech</x:v>
      </x:c>
      <x:c r="B114" s="14" t="str">
        <x:v>Banking &amp; Beyond Tracker</x:v>
      </x:c>
      <x:c r="C114" s="14" t="str">
        <x:v>StoxBazar</x:v>
      </x:c>
      <x:c r="D114" s="14" t="str">
        <x:v>STBATR_0001</x:v>
      </x:c>
      <x:c r="E114" s="14" t="str">
        <x:v>Title and listing description</x:v>
      </x:c>
    </x:row>
    <x:row r="115" ht="38" customHeight="1">
      <x:c r="A115" s="14" t="str">
        <x:v>Financial services &amp; fintech</x:v>
      </x:c>
      <x:c r="B115" s="14" t="str">
        <x:v>Finance Stars - Non Banks Tracker</x:v>
      </x:c>
      <x:c r="C115" s="14" t="str">
        <x:v>Quantace Research</x:v>
      </x:c>
      <x:c r="D115" s="14" t="str">
        <x:v>QURETR_0007</x:v>
      </x:c>
      <x:c r="E115" s="14" t="str">
        <x:v>Title and listing description</x:v>
      </x:c>
    </x:row>
    <x:row r="116" ht="38" customHeight="1">
      <x:c r="A116" s="14" t="str">
        <x:v>Financial services &amp; fintech</x:v>
      </x:c>
      <x:c r="B116" s="14" t="str">
        <x:v>Omni Capital Enablers. Theme</x:v>
      </x:c>
      <x:c r="C116" s="14" t="str">
        <x:v>Omniscience Capital</x:v>
      </x:c>
      <x:c r="D116" s="14" t="str">
        <x:v>OMNNM_0018</x:v>
      </x:c>
      <x:c r="E116" s="14" t="str">
        <x:v>Title and listing description</x:v>
      </x:c>
    </x:row>
    <x:row r="117" ht="38" customHeight="1">
      <x:c r="A117" s="14" t="str">
        <x:v>Financial services &amp; fintech</x:v>
      </x:c>
      <x:c r="B117" s="14" t="str">
        <x:v>House of HDFC Tracker</x:v>
      </x:c>
      <x:c r="C117" s="14" t="str">
        <x:v>Windmill Capital</x:v>
      </x:c>
      <x:c r="D117" s="14" t="str">
        <x:v>SCTR_0015</x:v>
      </x:c>
      <x:c r="E117" s="14" t="str">
        <x:v>Title and listing description</x:v>
      </x:c>
    </x:row>
    <x:row r="118" ht="38" customHeight="1">
      <x:c r="A118" s="14" t="str">
        <x:v>Financial services &amp; fintech</x:v>
      </x:c>
      <x:c r="B118" s="14" t="str">
        <x:v>Financial Services Powerpack Theme</x:v>
      </x:c>
      <x:c r="C118" s="14" t="str">
        <x:v>Ethical Advisers</x:v>
      </x:c>
      <x:c r="D118" s="14" t="str">
        <x:v>EHAMO_0001</x:v>
      </x:c>
      <x:c r="E118" s="14" t="str">
        <x:v>Title and listing description</x:v>
      </x:c>
    </x:row>
    <x:row r="119" ht="38" customHeight="1">
      <x:c r="A119" s="14" t="str">
        <x:v>Financial services &amp; fintech</x:v>
      </x:c>
      <x:c r="B119" s="14" t="str">
        <x:v>Service Stars Tracker</x:v>
      </x:c>
      <x:c r="C119" s="14" t="str">
        <x:v>Quantace Research</x:v>
      </x:c>
      <x:c r="D119" s="14" t="str">
        <x:v>QURENM_0007</x:v>
      </x:c>
      <x:c r="E119" s="14" t="str">
        <x:v>Public detail-page investment rationale</x:v>
      </x:c>
    </x:row>
    <x:row r="120" ht="38" customHeight="1">
      <x:c r="A120" s="14" t="str">
        <x:v>Financial services &amp; fintech</x:v>
      </x:c>
      <x:c r="B120" s="14" t="str">
        <x:v>MMG Vision 2028 smallcase Theme</x:v>
      </x:c>
      <x:c r="C120" s="14" t="str">
        <x:v>My Money Guru</x:v>
      </x:c>
      <x:c r="D120" s="14" t="str">
        <x:v>MYMONM_0003</x:v>
      </x:c>
      <x:c r="E120" s="14" t="str">
        <x:v>Public detail-page investment rationale</x:v>
      </x:c>
    </x:row>
    <x:row r="121" ht="38" customHeight="1">
      <x:c r="A121" s="14" t="str">
        <x:v>Financial services &amp; fintech</x:v>
      </x:c>
      <x:c r="B121" s="14" t="str">
        <x:v>Wright Innovation Theme</x:v>
      </x:c>
      <x:c r="C121" s="14" t="str">
        <x:v>Wright Research</x:v>
      </x:c>
      <x:c r="D121" s="14" t="str">
        <x:v>WRTNM_0004</x:v>
      </x:c>
      <x:c r="E121" s="14" t="str">
        <x:v>Public detail-page investment rationale</x:v>
      </x:c>
    </x:row>
    <x:row r="122" ht="38" customHeight="1">
      <x:c r="A122" s="14" t="str">
        <x:v>Financial services &amp; fintech</x:v>
      </x:c>
      <x:c r="B122" s="14" t="str">
        <x:v>Sunrise Sectors Theme</x:v>
      </x:c>
      <x:c r="C122" s="14" t="str">
        <x:v>Paterson</x:v>
      </x:c>
      <x:c r="D122" s="14" t="str">
        <x:v>RUPENM_0017</x:v>
      </x:c>
      <x:c r="E122" s="14" t="str">
        <x:v>Public detail-page investment rationale</x:v>
      </x:c>
    </x:row>
    <x:row r="123" ht="38" customHeight="1">
      <x:c r="A123" s="14" t="str">
        <x:v>Financial services &amp; fintech</x:v>
      </x:c>
      <x:c r="B123" s="14" t="str">
        <x:v>Omni FinTech, Digital Banking &amp; Payments. Theme</x:v>
      </x:c>
      <x:c r="C123" s="14" t="str">
        <x:v>Omniscience Capital</x:v>
      </x:c>
      <x:c r="D123" s="14" t="str">
        <x:v>OMNNM_0015</x:v>
      </x:c>
      <x:c r="E123" s="14" t="str">
        <x:v>Title and listing description</x:v>
      </x:c>
    </x:row>
    <x:row r="124" ht="38" customHeight="1">
      <x:c r="A124" s="14" t="str">
        <x:v>Financial services &amp; fintech</x:v>
      </x:c>
      <x:c r="B124" s="14" t="str">
        <x:v>Cherrypicked PSU Financials Theme</x:v>
      </x:c>
      <x:c r="C124" s="14" t="str">
        <x:v>Ethical Advisers</x:v>
      </x:c>
      <x:c r="D124" s="14" t="str">
        <x:v>EHANM_0009</x:v>
      </x:c>
      <x:c r="E124" s="14" t="str">
        <x:v>Title and listing description</x:v>
      </x:c>
    </x:row>
    <x:row r="125" ht="38" customHeight="1">
      <x:c r="A125" s="14" t="str">
        <x:v>Power, utilities &amp; energy</x:v>
      </x:c>
      <x:c r="B125" s="14" t="str">
        <x:v>AI &amp; Data Center Theme</x:v>
      </x:c>
      <x:c r="C125" s="14" t="str">
        <x:v>Growth Investing</x:v>
      </x:c>
      <x:c r="D125" s="14" t="str">
        <x:v>GRINMX_0003</x:v>
      </x:c>
      <x:c r="E125" s="14" t="str">
        <x:v>Title and listing description</x:v>
      </x:c>
    </x:row>
    <x:row r="126" ht="38" customHeight="1">
      <x:c r="A126" s="14" t="str">
        <x:v>Power, utilities &amp; energy</x:v>
      </x:c>
      <x:c r="B126" s="14" t="str">
        <x:v>Energy Tracker</x:v>
      </x:c>
      <x:c r="C126" s="14" t="str">
        <x:v>Windmill Capital</x:v>
      </x:c>
      <x:c r="D126" s="14" t="str">
        <x:v>SCTR_0003</x:v>
      </x:c>
      <x:c r="E126" s="14" t="str">
        <x:v>Title and listing description</x:v>
      </x:c>
    </x:row>
    <x:row r="127" ht="38" customHeight="1">
      <x:c r="A127" s="14" t="str">
        <x:v>Power, utilities &amp; energy</x:v>
      </x:c>
      <x:c r="B127" s="14" t="str">
        <x:v>AI &amp; Data Center Value Chain Theme</x:v>
      </x:c>
      <x:c r="C127" s="14" t="str">
        <x:v>Windmill Capital</x:v>
      </x:c>
      <x:c r="D127" s="14" t="str">
        <x:v>SCNM_0027</x:v>
      </x:c>
      <x:c r="E127" s="14" t="str">
        <x:v>Title and listing description</x:v>
      </x:c>
    </x:row>
    <x:row r="128" ht="38" customHeight="1">
      <x:c r="A128" s="14" t="str">
        <x:v>Power, utilities &amp; energy</x:v>
      </x:c>
      <x:c r="B128" s="14" t="str">
        <x:v>Data Center Infra Specialists Theme</x:v>
      </x:c>
      <x:c r="C128" s="14" t="str">
        <x:v>Growth Investing</x:v>
      </x:c>
      <x:c r="D128" s="14" t="str">
        <x:v>GRINMX_0008</x:v>
      </x:c>
      <x:c r="E128" s="14" t="str">
        <x:v>Title and listing description</x:v>
      </x:c>
    </x:row>
    <x:row r="129" ht="38" customHeight="1">
      <x:c r="A129" s="14" t="str">
        <x:v>Power, utilities &amp; energy</x:v>
      </x:c>
      <x:c r="B129" s="14" t="str">
        <x:v>CT Power Mega Trend Theme</x:v>
      </x:c>
      <x:c r="C129" s="14" t="str">
        <x:v>CA Tapan Doshi</x:v>
      </x:c>
      <x:c r="D129" s="14" t="str">
        <x:v>THIVFMM_0005</x:v>
      </x:c>
      <x:c r="E129" s="14" t="str">
        <x:v>Title and listing description</x:v>
      </x:c>
    </x:row>
    <x:row r="130" ht="38" customHeight="1">
      <x:c r="A130" s="14" t="str">
        <x:v>Power, utilities &amp; energy</x:v>
      </x:c>
      <x:c r="B130" s="14" t="str">
        <x:v>Divitiae AI &amp; Innovation Leaders Theme</x:v>
      </x:c>
      <x:c r="C130" s="14" t="str">
        <x:v>Divitiae Investments</x:v>
      </x:c>
      <x:c r="D130" s="14" t="str">
        <x:v>DIANNM_0003</x:v>
      </x:c>
      <x:c r="E130" s="14" t="str">
        <x:v>Title and listing description</x:v>
      </x:c>
    </x:row>
    <x:row r="131" ht="38" customHeight="1">
      <x:c r="A131" s="14" t="str">
        <x:v>Power, utilities &amp; energy</x:v>
      </x:c>
      <x:c r="B131" s="14" t="str">
        <x:v>Omni Power - Electrifying India Theme</x:v>
      </x:c>
      <x:c r="C131" s="14" t="str">
        <x:v>Omniscience Capital</x:v>
      </x:c>
      <x:c r="D131" s="14" t="str">
        <x:v>OMNNM_0013</x:v>
      </x:c>
      <x:c r="E131" s="14" t="str">
        <x:v>Title and listing description</x:v>
      </x:c>
    </x:row>
    <x:row r="132" ht="38" customHeight="1">
      <x:c r="A132" s="14" t="str">
        <x:v>Power, utilities &amp; energy</x:v>
      </x:c>
      <x:c r="B132" s="14" t="str">
        <x:v>Service Stars Tracker</x:v>
      </x:c>
      <x:c r="C132" s="14" t="str">
        <x:v>Quantace Research</x:v>
      </x:c>
      <x:c r="D132" s="14" t="str">
        <x:v>QURENM_0007</x:v>
      </x:c>
      <x:c r="E132" s="14" t="str">
        <x:v>Public detail-page investment rationale</x:v>
      </x:c>
    </x:row>
    <x:row r="133" ht="38" customHeight="1">
      <x:c r="A133" s="14" t="str">
        <x:v>Power, utilities &amp; energy</x:v>
      </x:c>
      <x:c r="B133" s="14" t="str">
        <x:v>Metal &amp; Power Tracker</x:v>
      </x:c>
      <x:c r="C133" s="14" t="str">
        <x:v>Agility Advisors</x:v>
      </x:c>
      <x:c r="D133" s="14" t="str">
        <x:v>YEJNM_0007</x:v>
      </x:c>
      <x:c r="E133" s="14" t="str">
        <x:v>Title and listing description</x:v>
      </x:c>
    </x:row>
    <x:row r="134" ht="38" customHeight="1">
      <x:c r="A134" s="14" t="str">
        <x:v>Power, utilities &amp; energy</x:v>
      </x:c>
      <x:c r="B134" s="14" t="str">
        <x:v>CWA Energy Next Theme</x:v>
      </x:c>
      <x:c r="C134" s="14" t="str">
        <x:v>Compounding Wealth Advisors</x:v>
      </x:c>
      <x:c r="D134" s="14" t="str">
        <x:v>COWANM_0007</x:v>
      </x:c>
      <x:c r="E134" s="14" t="str">
        <x:v>Title and listing description</x:v>
      </x:c>
    </x:row>
    <x:row r="135" ht="38" customHeight="1">
      <x:c r="A135" s="14" t="str">
        <x:v>Power, utilities &amp; energy</x:v>
      </x:c>
      <x:c r="B135" s="14" t="str">
        <x:v>Energy Stars Tracker</x:v>
      </x:c>
      <x:c r="C135" s="14" t="str">
        <x:v>Quantace Research</x:v>
      </x:c>
      <x:c r="D135" s="14" t="str">
        <x:v>QURETR_0005</x:v>
      </x:c>
      <x:c r="E135" s="14" t="str">
        <x:v>Title and listing description</x:v>
      </x:c>
    </x:row>
    <x:row r="136" ht="38" customHeight="1">
      <x:c r="A136" s="14" t="str">
        <x:v>Manufacturing &amp; industrials</x:v>
      </x:c>
      <x:c r="B136" s="14" t="str">
        <x:v>Electronics Manufacturing Sector Tracker</x:v>
      </x:c>
      <x:c r="C136" s="14" t="str">
        <x:v>Growth Investing</x:v>
      </x:c>
      <x:c r="D136" s="14" t="str">
        <x:v>GRINTR_0002</x:v>
      </x:c>
      <x:c r="E136" s="14" t="str">
        <x:v>Title and listing description</x:v>
      </x:c>
    </x:row>
    <x:row r="137" ht="38" customHeight="1">
      <x:c r="A137" s="14" t="str">
        <x:v>Manufacturing &amp; industrials</x:v>
      </x:c>
      <x:c r="B137" s="14" t="str">
        <x:v>High Quality Right Price Theme</x:v>
      </x:c>
      <x:c r="C137" s="14" t="str">
        <x:v>Green Portfolio</x:v>
      </x:c>
      <x:c r="D137" s="14" t="str">
        <x:v>GPRMO_0003</x:v>
      </x:c>
      <x:c r="E137" s="14" t="str">
        <x:v>Title and listing description</x:v>
      </x:c>
    </x:row>
    <x:row r="138" ht="38" customHeight="1">
      <x:c r="A138" s="14" t="str">
        <x:v>Manufacturing &amp; industrials</x:v>
      </x:c>
      <x:c r="B138" s="14" t="str">
        <x:v>Made in India Theme</x:v>
      </x:c>
      <x:c r="C138" s="14" t="str">
        <x:v>Quantace Research</x:v>
      </x:c>
      <x:c r="D138" s="14" t="str">
        <x:v>QURENM_0003</x:v>
      </x:c>
      <x:c r="E138" s="14" t="str">
        <x:v>Title and listing description</x:v>
      </x:c>
    </x:row>
    <x:row r="139" ht="38" customHeight="1">
      <x:c r="A139" s="14" t="str">
        <x:v>Manufacturing &amp; industrials</x:v>
      </x:c>
      <x:c r="B139" s="14" t="str">
        <x:v>Make in India Theme</x:v>
      </x:c>
      <x:c r="C139" s="14" t="str">
        <x:v>Niveshaay</x:v>
      </x:c>
      <x:c r="D139" s="14" t="str">
        <x:v>NIVNM_0001</x:v>
      </x:c>
      <x:c r="E139" s="14" t="str">
        <x:v>Title and listing description</x:v>
      </x:c>
    </x:row>
    <x:row r="140" ht="38" customHeight="1">
      <x:c r="A140" s="14" t="str">
        <x:v>Manufacturing &amp; industrials</x:v>
      </x:c>
      <x:c r="B140" s="14" t="str">
        <x:v>Wright New India Manufacturing Theme</x:v>
      </x:c>
      <x:c r="C140" s="14" t="str">
        <x:v>Wright Research</x:v>
      </x:c>
      <x:c r="D140" s="14" t="str">
        <x:v>WRTNM_0003</x:v>
      </x:c>
      <x:c r="E140" s="14" t="str">
        <x:v>Title and listing description</x:v>
      </x:c>
    </x:row>
    <x:row r="141" ht="38" customHeight="1">
      <x:c r="A141" s="14" t="str">
        <x:v>Manufacturing &amp; industrials</x:v>
      </x:c>
      <x:c r="B141" s="14" t="str">
        <x:v>MMG Manufacturing smallcase Theme</x:v>
      </x:c>
      <x:c r="C141" s="14" t="str">
        <x:v>My Money Guru</x:v>
      </x:c>
      <x:c r="D141" s="14" t="str">
        <x:v>MYMONM_0001</x:v>
      </x:c>
      <x:c r="E141" s="14" t="str">
        <x:v>Title and listing description</x:v>
      </x:c>
    </x:row>
    <x:row r="142" ht="38" customHeight="1">
      <x:c r="A142" s="14" t="str">
        <x:v>Manufacturing &amp; industrials</x:v>
      </x:c>
      <x:c r="B142" s="14" t="str">
        <x:v>CWA Manufacturing - China Plus One Theme</x:v>
      </x:c>
      <x:c r="C142" s="14" t="str">
        <x:v>Compounding Wealth Advisors</x:v>
      </x:c>
      <x:c r="D142" s="14" t="str">
        <x:v>COWANM_0001</x:v>
      </x:c>
      <x:c r="E142" s="14" t="str">
        <x:v>Title and listing description</x:v>
      </x:c>
    </x:row>
    <x:row r="143" ht="38" customHeight="1">
      <x:c r="A143" s="14" t="str">
        <x:v>Manufacturing &amp; industrials</x:v>
      </x:c>
      <x:c r="B143" s="14" t="str">
        <x:v>EquiSecure Theme</x:v>
      </x:c>
      <x:c r="C143" s="14" t="str">
        <x:v>Equivision Consulting</x:v>
      </x:c>
      <x:c r="D143" s="14" t="str">
        <x:v>EREQMO_0005</x:v>
      </x:c>
      <x:c r="E143" s="14" t="str">
        <x:v>Title and listing description</x:v>
      </x:c>
    </x:row>
    <x:row r="144" ht="38" customHeight="1">
      <x:c r="A144" s="14" t="str">
        <x:v>Manufacturing &amp; industrials</x:v>
      </x:c>
      <x:c r="B144" s="14" t="str">
        <x:v>Viksit Vision Theme</x:v>
      </x:c>
      <x:c r="C144" s="14" t="str">
        <x:v>INVEST4EDU PRIVATE LIMITED</x:v>
      </x:c>
      <x:c r="D144" s="14" t="str">
        <x:v>IEDUNM_0001</x:v>
      </x:c>
      <x:c r="E144" s="14" t="str">
        <x:v>Public detail-page investment rationale</x:v>
      </x:c>
    </x:row>
    <x:row r="145" ht="38" customHeight="1">
      <x:c r="A145" s="14" t="str">
        <x:v>Manufacturing &amp; industrials</x:v>
      </x:c>
      <x:c r="B145" s="14" t="str">
        <x:v>Precision Manufacturing in Bharat Theme</x:v>
      </x:c>
      <x:c r="C145" s="14" t="str">
        <x:v>KamayaKya</x:v>
      </x:c>
      <x:c r="D145" s="14" t="str">
        <x:v>KAKYNM_0002</x:v>
      </x:c>
      <x:c r="E145" s="14" t="str">
        <x:v>Title and listing description</x:v>
      </x:c>
    </x:row>
    <x:row r="146" ht="38" customHeight="1">
      <x:c r="A146" s="14" t="str">
        <x:v>Renewables, clean energy &amp; recycling</x:v>
      </x:c>
      <x:c r="B146" s="14" t="str">
        <x:v>Green Energy Theme</x:v>
      </x:c>
      <x:c r="C146" s="14" t="str">
        <x:v>Niveshaay</x:v>
      </x:c>
      <x:c r="D146" s="14" t="str">
        <x:v>NIVTR_0001</x:v>
      </x:c>
      <x:c r="E146" s="14" t="str">
        <x:v>Title and listing description</x:v>
      </x:c>
    </x:row>
    <x:row r="147" ht="38" customHeight="1">
      <x:c r="A147" s="14" t="str">
        <x:v>Renewables, clean energy &amp; recycling</x:v>
      </x:c>
      <x:c r="B147" s="14" t="str">
        <x:v>Bharat Green Theme</x:v>
      </x:c>
      <x:c r="C147" s="14" t="str">
        <x:v>Samar Wealth</x:v>
      </x:c>
      <x:c r="D147" s="14" t="str">
        <x:v>SAWENM_0002</x:v>
      </x:c>
      <x:c r="E147" s="14" t="str">
        <x:v>Title and listing description</x:v>
      </x:c>
    </x:row>
    <x:row r="148" ht="38" customHeight="1">
      <x:c r="A148" s="14" t="str">
        <x:v>Renewables, clean energy &amp; recycling</x:v>
      </x:c>
      <x:c r="B148" s="14" t="str">
        <x:v>GDR - Green Energy, Defense, Railway Theme</x:v>
      </x:c>
      <x:c r="C148" s="14" t="str">
        <x:v>Green Portfolio</x:v>
      </x:c>
      <x:c r="D148" s="14" t="str">
        <x:v>GPRNM_0011</x:v>
      </x:c>
      <x:c r="E148" s="14" t="str">
        <x:v>Title and listing description</x:v>
      </x:c>
    </x:row>
    <x:row r="149" ht="38" customHeight="1">
      <x:c r="A149" s="14" t="str">
        <x:v>Renewables, clean energy &amp; recycling</x:v>
      </x:c>
      <x:c r="B149" s="14" t="str">
        <x:v>CT Power Mega Trend Theme</x:v>
      </x:c>
      <x:c r="C149" s="14" t="str">
        <x:v>CA Tapan Doshi</x:v>
      </x:c>
      <x:c r="D149" s="14" t="str">
        <x:v>THIVFMM_0005</x:v>
      </x:c>
      <x:c r="E149" s="14" t="str">
        <x:v>Title and listing description</x:v>
      </x:c>
    </x:row>
    <x:row r="150" ht="38" customHeight="1">
      <x:c r="A150" s="14" t="str">
        <x:v>Renewables, clean energy &amp; recycling</x:v>
      </x:c>
      <x:c r="B150" s="14" t="str">
        <x:v>SR GREEN ENERGY Theme</x:v>
      </x:c>
      <x:c r="C150" s="14" t="str">
        <x:v>SR WEALTH ELITE</x:v>
      </x:c>
      <x:c r="D150" s="14" t="str">
        <x:v>LOSENM_0003</x:v>
      </x:c>
      <x:c r="E150" s="14" t="str">
        <x:v>Title and listing description</x:v>
      </x:c>
    </x:row>
    <x:row r="151" ht="38" customHeight="1">
      <x:c r="A151" s="14" t="str">
        <x:v>Renewables, clean energy &amp; recycling</x:v>
      </x:c>
      <x:c r="B151" s="14" t="str">
        <x:v>Ikashi Emerging India Theme</x:v>
      </x:c>
      <x:c r="C151" s="14" t="str">
        <x:v>IKASHI FINTECH PRIVATE LIMITED</x:v>
      </x:c>
      <x:c r="D151" s="14" t="str">
        <x:v>IFPLNM_0002</x:v>
      </x:c>
      <x:c r="E151" s="14" t="str">
        <x:v>Public detail-page investment rationale</x:v>
      </x:c>
    </x:row>
    <x:row r="152" ht="38" customHeight="1">
      <x:c r="A152" s="14" t="str">
        <x:v>Renewables, clean energy &amp; recycling</x:v>
      </x:c>
      <x:c r="B152" s="14" t="str">
        <x:v>MMG Green Energy &amp; EV smallcase Theme</x:v>
      </x:c>
      <x:c r="C152" s="14" t="str">
        <x:v>My Money Guru</x:v>
      </x:c>
      <x:c r="D152" s="14" t="str">
        <x:v>MYMONM_0002</x:v>
      </x:c>
      <x:c r="E152" s="14" t="str">
        <x:v>Title and listing description</x:v>
      </x:c>
    </x:row>
    <x:row r="153" ht="38" customHeight="1">
      <x:c r="A153" s="14" t="str">
        <x:v>Renewables, clean energy &amp; recycling</x:v>
      </x:c>
      <x:c r="B153" s="14" t="str">
        <x:v>Arth CleanTech Theme</x:v>
      </x:c>
      <x:c r="C153" s="14" t="str">
        <x:v>Arthscience Capital Research Private Limited</x:v>
      </x:c>
      <x:c r="D153" s="14" t="str">
        <x:v>ASCRNM_0005</x:v>
      </x:c>
      <x:c r="E153" s="14" t="str">
        <x:v>Title and listing description</x:v>
      </x:c>
    </x:row>
    <x:row r="154" ht="38" customHeight="1">
      <x:c r="A154" s="14" t="str">
        <x:v>Renewables, clean energy &amp; recycling</x:v>
      </x:c>
      <x:c r="B154" s="14" t="str">
        <x:v>Sunrise Sectors Theme</x:v>
      </x:c>
      <x:c r="C154" s="14" t="str">
        <x:v>Paterson</x:v>
      </x:c>
      <x:c r="D154" s="14" t="str">
        <x:v>RUPENM_0017</x:v>
      </x:c>
      <x:c r="E154" s="14" t="str">
        <x:v>Public detail-page investment rationale</x:v>
      </x:c>
    </x:row>
    <x:row r="155" ht="38" customHeight="1">
      <x:c r="A155" s="14" t="str">
        <x:v>Capital markets &amp; wealth management</x:v>
      </x:c>
      <x:c r="B155" s="14" t="str">
        <x:v>Capital Markets Tracker</x:v>
      </x:c>
      <x:c r="C155" s="14" t="str">
        <x:v>Windmill Capital</x:v>
      </x:c>
      <x:c r="D155" s="14" t="str">
        <x:v>SCTR_0018</x:v>
      </x:c>
      <x:c r="E155" s="14" t="str">
        <x:v>Title and listing description</x:v>
      </x:c>
    </x:row>
    <x:row r="156" ht="38" customHeight="1">
      <x:c r="A156" s="14" t="str">
        <x:v>Capital markets &amp; wealth management</x:v>
      </x:c>
      <x:c r="B156" s="14" t="str">
        <x:v>Capital Markets Theme</x:v>
      </x:c>
      <x:c r="C156" s="14" t="str">
        <x:v>Quantace Research</x:v>
      </x:c>
      <x:c r="D156" s="14" t="str">
        <x:v>QURENM_0014</x:v>
      </x:c>
      <x:c r="E156" s="14" t="str">
        <x:v>Title and listing description</x:v>
      </x:c>
    </x:row>
    <x:row r="157" ht="38" customHeight="1">
      <x:c r="A157" s="14" t="str">
        <x:v>Capital markets &amp; wealth management</x:v>
      </x:c>
      <x:c r="B157" s="14" t="str">
        <x:v>GoalFi India Wealth &amp; Financial Growth Theme</x:v>
      </x:c>
      <x:c r="C157" s="14" t="str">
        <x:v>GoalFi</x:v>
      </x:c>
      <x:c r="D157" s="14" t="str">
        <x:v>GOALMO_0154</x:v>
      </x:c>
      <x:c r="E157" s="14" t="str">
        <x:v>Title and listing description</x:v>
      </x:c>
    </x:row>
    <x:row r="158" ht="38" customHeight="1">
      <x:c r="A158" s="14" t="str">
        <x:v>Capital markets &amp; wealth management</x:v>
      </x:c>
      <x:c r="B158" s="14" t="str">
        <x:v>EquiBoost Capital Markets Theme</x:v>
      </x:c>
      <x:c r="C158" s="14" t="str">
        <x:v>Equiboost Finserv Private Limited</x:v>
      </x:c>
      <x:c r="D158" s="14" t="str">
        <x:v>EBFSNM_0003</x:v>
      </x:c>
      <x:c r="E158" s="14" t="str">
        <x:v>Title and listing description</x:v>
      </x:c>
    </x:row>
    <x:row r="159" ht="38" customHeight="1">
      <x:c r="A159" s="14" t="str">
        <x:v>Capital markets &amp; wealth management</x:v>
      </x:c>
      <x:c r="B159" s="14" t="str">
        <x:v>GVSR - Share Market Services Theme Theme</x:v>
      </x:c>
      <x:c r="C159" s="14" t="str">
        <x:v>GVSRwealth</x:v>
      </x:c>
      <x:c r="D159" s="14" t="str">
        <x:v>GVSRNM_0004</x:v>
      </x:c>
      <x:c r="E159" s="14" t="str">
        <x:v>Title and listing description</x:v>
      </x:c>
    </x:row>
    <x:row r="160" ht="38" customHeight="1">
      <x:c r="A160" s="14" t="str">
        <x:v>Capital markets &amp; wealth management</x:v>
      </x:c>
      <x:c r="B160" s="14" t="str">
        <x:v>GVSR - BFSI- Wealth Management Theme Theme</x:v>
      </x:c>
      <x:c r="C160" s="14" t="str">
        <x:v>GVSRwealth</x:v>
      </x:c>
      <x:c r="D160" s="14" t="str">
        <x:v>GVSRNM_0005</x:v>
      </x:c>
      <x:c r="E160" s="14" t="str">
        <x:v>Title and listing description</x:v>
      </x:c>
    </x:row>
    <x:row r="161" ht="38" customHeight="1">
      <x:c r="A161" s="14" t="str">
        <x:v>Capital markets &amp; wealth management</x:v>
      </x:c>
      <x:c r="B161" s="14" t="str">
        <x:v>Viksit Vision Theme</x:v>
      </x:c>
      <x:c r="C161" s="14" t="str">
        <x:v>INVEST4EDU PRIVATE LIMITED</x:v>
      </x:c>
      <x:c r="D161" s="14" t="str">
        <x:v>IEDUNM_0001</x:v>
      </x:c>
      <x:c r="E161" s="14" t="str">
        <x:v>Public detail-page investment rationale</x:v>
      </x:c>
    </x:row>
    <x:row r="162" ht="38" customHeight="1">
      <x:c r="A162" s="14" t="str">
        <x:v>Metals, mining &amp; minerals</x:v>
      </x:c>
      <x:c r="B162" s="14" t="str">
        <x:v>Metal Tracker</x:v>
      </x:c>
      <x:c r="C162" s="14" t="str">
        <x:v>Windmill Capital</x:v>
      </x:c>
      <x:c r="D162" s="14" t="str">
        <x:v>SCTR_0008</x:v>
      </x:c>
      <x:c r="E162" s="14" t="str">
        <x:v>Title and listing description</x:v>
      </x:c>
    </x:row>
    <x:row r="163" ht="38" customHeight="1">
      <x:c r="A163" s="14" t="str">
        <x:v>Metals, mining &amp; minerals</x:v>
      </x:c>
      <x:c r="B163" s="14" t="str">
        <x:v>Metal Stars Tracker</x:v>
      </x:c>
      <x:c r="C163" s="14" t="str">
        <x:v>Quantace Research</x:v>
      </x:c>
      <x:c r="D163" s="14" t="str">
        <x:v>QURETR_0002</x:v>
      </x:c>
      <x:c r="E163" s="14" t="str">
        <x:v>Title and listing description</x:v>
      </x:c>
    </x:row>
    <x:row r="164" ht="38" customHeight="1">
      <x:c r="A164" s="14" t="str">
        <x:v>Metals, mining &amp; minerals</x:v>
      </x:c>
      <x:c r="B164" s="14" t="str">
        <x:v>Metal Revival Theme</x:v>
      </x:c>
      <x:c r="C164" s="14" t="str">
        <x:v>Ethical Advisers</x:v>
      </x:c>
      <x:c r="D164" s="14" t="str">
        <x:v>EHATR_0001</x:v>
      </x:c>
      <x:c r="E164" s="14" t="str">
        <x:v>Title and listing description</x:v>
      </x:c>
    </x:row>
    <x:row r="165" ht="38" customHeight="1">
      <x:c r="A165" s="14" t="str">
        <x:v>Metals, mining &amp; minerals</x:v>
      </x:c>
      <x:c r="B165" s="14" t="str">
        <x:v>Metal &amp; Power Tracker</x:v>
      </x:c>
      <x:c r="C165" s="14" t="str">
        <x:v>Agility Advisors</x:v>
      </x:c>
      <x:c r="D165" s="14" t="str">
        <x:v>YEJNM_0007</x:v>
      </x:c>
      <x:c r="E165" s="14" t="str">
        <x:v>Title and listing description</x:v>
      </x:c>
    </x:row>
    <x:row r="166" ht="38" customHeight="1">
      <x:c r="A166" s="14" t="str">
        <x:v>Metals, mining &amp; minerals</x:v>
      </x:c>
      <x:c r="B166" s="14" t="str">
        <x:v>Arth Strategic Minerals Theme</x:v>
      </x:c>
      <x:c r="C166" s="14" t="str">
        <x:v>Arthscience Capital Research Private Limited</x:v>
      </x:c>
      <x:c r="D166" s="14" t="str">
        <x:v>ASCRNM_0012</x:v>
      </x:c>
      <x:c r="E166" s="14" t="str">
        <x:v>Title and listing description</x:v>
      </x:c>
    </x:row>
    <x:row r="167" ht="38" customHeight="1">
      <x:c r="A167" s="14" t="str">
        <x:v>Metals, mining &amp; minerals</x:v>
      </x:c>
      <x:c r="B167" s="14" t="str">
        <x:v>CWA Metals Theme</x:v>
      </x:c>
      <x:c r="C167" s="14" t="str">
        <x:v>Compounding Wealth Advisors</x:v>
      </x:c>
      <x:c r="D167" s="14" t="str">
        <x:v>COWANM_0005</x:v>
      </x:c>
      <x:c r="E167" s="14" t="str">
        <x:v>Title and listing description</x:v>
      </x:c>
    </x:row>
    <x:row r="168" ht="38" customHeight="1">
      <x:c r="A168" s="14" t="str">
        <x:v>Metals, mining &amp; minerals</x:v>
      </x:c>
      <x:c r="B168" s="14" t="str">
        <x:v>EquiBoost Metal &amp; Mining Theme</x:v>
      </x:c>
      <x:c r="C168" s="14" t="str">
        <x:v>Equiboost Finserv Private Limited</x:v>
      </x:c>
      <x:c r="D168" s="14" t="str">
        <x:v>EBFSNM_0002</x:v>
      </x:c>
      <x:c r="E168" s="14" t="str">
        <x:v>Title and listing description</x:v>
      </x:c>
    </x:row>
    <x:row r="169" ht="38" customHeight="1">
      <x:c r="A169" s="14" t="str">
        <x:v>Infrastructure &amp; construction</x:v>
      </x:c>
      <x:c r="B169" s="14" t="str">
        <x:v>Infra Tracker</x:v>
      </x:c>
      <x:c r="C169" s="14" t="str">
        <x:v>Windmill Capital</x:v>
      </x:c>
      <x:c r="D169" s="14" t="str">
        <x:v>SCTR_0005</x:v>
      </x:c>
      <x:c r="E169" s="14" t="str">
        <x:v>Title and listing description</x:v>
      </x:c>
    </x:row>
    <x:row r="170" ht="38" customHeight="1">
      <x:c r="A170" s="14" t="str">
        <x:v>Infrastructure &amp; construction</x:v>
      </x:c>
      <x:c r="B170" s="14" t="str">
        <x:v>CWA Infrastructure Theme</x:v>
      </x:c>
      <x:c r="C170" s="14" t="str">
        <x:v>Compounding Wealth Advisors</x:v>
      </x:c>
      <x:c r="D170" s="14" t="str">
        <x:v>COWANM_0002</x:v>
      </x:c>
      <x:c r="E170" s="14" t="str">
        <x:v>Title and listing description</x:v>
      </x:c>
    </x:row>
    <x:row r="171" ht="38" customHeight="1">
      <x:c r="A171" s="14" t="str">
        <x:v>Infrastructure &amp; construction</x:v>
      </x:c>
      <x:c r="B171" s="14" t="str">
        <x:v>smartvalues - infrastructure Theme</x:v>
      </x:c>
      <x:c r="C171" s="14" t="str">
        <x:v>Lamron Analysts</x:v>
      </x:c>
      <x:c r="D171" s="14" t="str">
        <x:v>LMRMO_0012</x:v>
      </x:c>
      <x:c r="E171" s="14" t="str">
        <x:v>Title and listing description</x:v>
      </x:c>
    </x:row>
    <x:row r="172" ht="38" customHeight="1">
      <x:c r="A172" s="14" t="str">
        <x:v>Infrastructure &amp; construction</x:v>
      </x:c>
      <x:c r="B172" s="14" t="str">
        <x:v>Omni Capital Enablers. Theme</x:v>
      </x:c>
      <x:c r="C172" s="14" t="str">
        <x:v>Omniscience Capital</x:v>
      </x:c>
      <x:c r="D172" s="14" t="str">
        <x:v>OMNNM_0018</x:v>
      </x:c>
      <x:c r="E172" s="14" t="str">
        <x:v>Title and listing description</x:v>
      </x:c>
    </x:row>
    <x:row r="173" ht="38" customHeight="1">
      <x:c r="A173" s="14" t="str">
        <x:v>Infrastructure &amp; construction</x:v>
      </x:c>
      <x:c r="B173" s="14" t="str">
        <x:v>Viksit Vision Theme</x:v>
      </x:c>
      <x:c r="C173" s="14" t="str">
        <x:v>INVEST4EDU PRIVATE LIMITED</x:v>
      </x:c>
      <x:c r="D173" s="14" t="str">
        <x:v>IEDUNM_0001</x:v>
      </x:c>
      <x:c r="E173" s="14" t="str">
        <x:v>Public detail-page investment rationale</x:v>
      </x:c>
    </x:row>
    <x:row r="174" ht="38" customHeight="1">
      <x:c r="A174" s="14" t="str">
        <x:v>Infrastructure &amp; construction</x:v>
      </x:c>
      <x:c r="B174" s="14" t="str">
        <x:v>Infra Stars Theme</x:v>
      </x:c>
      <x:c r="C174" s="14" t="str">
        <x:v>Quantace Research</x:v>
      </x:c>
      <x:c r="D174" s="14" t="str">
        <x:v>QURETR_0008</x:v>
      </x:c>
      <x:c r="E174" s="14" t="str">
        <x:v>Title and listing description</x:v>
      </x:c>
    </x:row>
    <x:row r="175" ht="38" customHeight="1">
      <x:c r="A175" s="14" t="str">
        <x:v>Logistics, transport &amp; aviation</x:v>
      </x:c>
      <x:c r="B175" s="14" t="str">
        <x:v>Transporting India Theme</x:v>
      </x:c>
      <x:c r="C175" s="14" t="str">
        <x:v>Windmill Capital</x:v>
      </x:c>
      <x:c r="D175" s="14" t="str">
        <x:v>SCNM_0001</x:v>
      </x:c>
      <x:c r="E175" s="14" t="str">
        <x:v>Title and listing description</x:v>
      </x:c>
    </x:row>
    <x:row r="176" ht="38" customHeight="1">
      <x:c r="A176" s="14" t="str">
        <x:v>Logistics, transport &amp; aviation</x:v>
      </x:c>
      <x:c r="B176" s="14" t="str">
        <x:v>Aviation &amp; Aerospace Quant</x:v>
      </x:c>
      <x:c r="C176" s="14" t="str">
        <x:v>Growth Investing</x:v>
      </x:c>
      <x:c r="D176" s="14" t="str">
        <x:v>GRINQM_0006</x:v>
      </x:c>
      <x:c r="E176" s="14" t="str">
        <x:v>Title and listing description</x:v>
      </x:c>
    </x:row>
    <x:row r="177" ht="38" customHeight="1">
      <x:c r="A177" s="14" t="str">
        <x:v>Logistics, transport &amp; aviation</x:v>
      </x:c>
      <x:c r="B177" s="14" t="str">
        <x:v>Omni Future of Mobility. Theme</x:v>
      </x:c>
      <x:c r="C177" s="14" t="str">
        <x:v>Omniscience Capital</x:v>
      </x:c>
      <x:c r="D177" s="14" t="str">
        <x:v>OMNNM_0019</x:v>
      </x:c>
      <x:c r="E177" s="14" t="str">
        <x:v>Title and listing description</x:v>
      </x:c>
    </x:row>
    <x:row r="178" ht="38" customHeight="1">
      <x:c r="A178" s="14" t="str">
        <x:v>Logistics, transport &amp; aviation</x:v>
      </x:c>
      <x:c r="B178" s="14" t="str">
        <x:v>India Mobility Theme</x:v>
      </x:c>
      <x:c r="C178" s="14" t="str">
        <x:v>Quantace Research</x:v>
      </x:c>
      <x:c r="D178" s="14" t="str">
        <x:v>QURENM_0006</x:v>
      </x:c>
      <x:c r="E178" s="14" t="str">
        <x:v>Title and listing description</x:v>
      </x:c>
    </x:row>
    <x:row r="179" ht="38" customHeight="1">
      <x:c r="A179" s="14" t="str">
        <x:v>Logistics, transport &amp; aviation</x:v>
      </x:c>
      <x:c r="B179" s="14" t="str">
        <x:v>Arth Logistics Theme</x:v>
      </x:c>
      <x:c r="C179" s="14" t="str">
        <x:v>Arthscience Capital Research Private Limited</x:v>
      </x:c>
      <x:c r="D179" s="14" t="str">
        <x:v>ASCRNM_0001</x:v>
      </x:c>
      <x:c r="E179" s="14" t="str">
        <x:v>Title and listing description</x:v>
      </x:c>
    </x:row>
    <x:row r="180" ht="38" customHeight="1">
      <x:c r="A180" s="14" t="str">
        <x:v>Railways</x:v>
      </x:c>
      <x:c r="B180" s="14" t="str">
        <x:v>Railways &amp; Defence Tracker</x:v>
      </x:c>
      <x:c r="C180" s="14" t="str">
        <x:v>Agility Advisors</x:v>
      </x:c>
      <x:c r="D180" s="14" t="str">
        <x:v>YEJMO_0004</x:v>
      </x:c>
      <x:c r="E180" s="14" t="str">
        <x:v>Title and listing description</x:v>
      </x:c>
    </x:row>
    <x:row r="181" ht="38" customHeight="1">
      <x:c r="A181" s="14" t="str">
        <x:v>Railways</x:v>
      </x:c>
      <x:c r="B181" s="14" t="str">
        <x:v>GDR - Green Energy, Defense, Railway Theme</x:v>
      </x:c>
      <x:c r="C181" s="14" t="str">
        <x:v>Green Portfolio</x:v>
      </x:c>
      <x:c r="D181" s="14" t="str">
        <x:v>GPRNM_0011</x:v>
      </x:c>
      <x:c r="E181" s="14" t="str">
        <x:v>Title and listing description</x:v>
      </x:c>
    </x:row>
    <x:row r="182" ht="38" customHeight="1">
      <x:c r="A182" s="14" t="str">
        <x:v>Railways</x:v>
      </x:c>
      <x:c r="B182" s="14" t="str">
        <x:v>Omni Bullet Train - Great Indian Railways Theme</x:v>
      </x:c>
      <x:c r="C182" s="14" t="str">
        <x:v>Omniscience Capital</x:v>
      </x:c>
      <x:c r="D182" s="14" t="str">
        <x:v>OMNNM_0011</x:v>
      </x:c>
      <x:c r="E182" s="14" t="str">
        <x:v>Title and listing description</x:v>
      </x:c>
    </x:row>
    <x:row r="183" ht="38" customHeight="1">
      <x:c r="A183" s="14" t="str">
        <x:v>Railways</x:v>
      </x:c>
      <x:c r="B183" s="14" t="str">
        <x:v>Omni Future of Mobility. Theme</x:v>
      </x:c>
      <x:c r="C183" s="14" t="str">
        <x:v>Omniscience Capital</x:v>
      </x:c>
      <x:c r="D183" s="14" t="str">
        <x:v>OMNNM_0019</x:v>
      </x:c>
      <x:c r="E183" s="14" t="str">
        <x:v>Title and listing description</x:v>
      </x:c>
    </x:row>
    <x:row r="184" ht="38" customHeight="1">
      <x:c r="A184" s="14" t="str">
        <x:v>Railways</x:v>
      </x:c>
      <x:c r="B184" s="14" t="str">
        <x:v>Arth Locomotives Theme</x:v>
      </x:c>
      <x:c r="C184" s="14" t="str">
        <x:v>Arthscience Capital Research Private Limited</x:v>
      </x:c>
      <x:c r="D184" s="14" t="str">
        <x:v>ASCRNM_0011</x:v>
      </x:c>
      <x:c r="E184" s="14" t="str">
        <x:v>Title and listing description</x:v>
      </x:c>
    </x:row>
    <x:row r="185" ht="38" customHeight="1">
      <x:c r="A185" s="14" t="str">
        <x:v>Electronics &amp; semiconductors</x:v>
      </x:c>
      <x:c r="B185" s="14" t="str">
        <x:v>Electronics Manufacturing Sector Tracker</x:v>
      </x:c>
      <x:c r="C185" s="14" t="str">
        <x:v>Growth Investing</x:v>
      </x:c>
      <x:c r="D185" s="14" t="str">
        <x:v>GRINTR_0002</x:v>
      </x:c>
      <x:c r="E185" s="14" t="str">
        <x:v>Title and listing description</x:v>
      </x:c>
    </x:row>
    <x:row r="186" ht="38" customHeight="1">
      <x:c r="A186" s="14" t="str">
        <x:v>Electronics &amp; semiconductors</x:v>
      </x:c>
      <x:c r="B186" s="14" t="str">
        <x:v>Ikashi Emerging India Theme</x:v>
      </x:c>
      <x:c r="C186" s="14" t="str">
        <x:v>IKASHI FINTECH PRIVATE LIMITED</x:v>
      </x:c>
      <x:c r="D186" s="14" t="str">
        <x:v>IFPLNM_0002</x:v>
      </x:c>
      <x:c r="E186" s="14" t="str">
        <x:v>Public detail-page investment rationale</x:v>
      </x:c>
    </x:row>
    <x:row r="187" ht="38" customHeight="1">
      <x:c r="A187" s="14" t="str">
        <x:v>Electronics &amp; semiconductors</x:v>
      </x:c>
      <x:c r="B187" s="14" t="str">
        <x:v>SR New Agr-Tech Theme</x:v>
      </x:c>
      <x:c r="C187" s="14" t="str">
        <x:v>SR WEALTH ELITE</x:v>
      </x:c>
      <x:c r="D187" s="14" t="str">
        <x:v>LOSENM_0004</x:v>
      </x:c>
      <x:c r="E187" s="14" t="str">
        <x:v>Title and listing description</x:v>
      </x:c>
    </x:row>
    <x:row r="188" ht="38" customHeight="1">
      <x:c r="A188" s="14" t="str">
        <x:v>Electronics &amp; semiconductors</x:v>
      </x:c>
      <x:c r="B188" s="14" t="str">
        <x:v>EquiBoost NextGen Theme</x:v>
      </x:c>
      <x:c r="C188" s="14" t="str">
        <x:v>Equiboost Finserv Private Limited</x:v>
      </x:c>
      <x:c r="D188" s="14" t="str">
        <x:v>EBFSNM_0007</x:v>
      </x:c>
      <x:c r="E188" s="14" t="str">
        <x:v>Title and listing description</x:v>
      </x:c>
    </x:row>
    <x:row r="189" ht="38" customHeight="1">
      <x:c r="A189" s="14" t="str">
        <x:v>Real estate, housing &amp; REITs</x:v>
      </x:c>
      <x:c r="B189" s="14" t="str">
        <x:v>Realty Tracker</x:v>
      </x:c>
      <x:c r="C189" s="14" t="str">
        <x:v>Windmill Capital</x:v>
      </x:c>
      <x:c r="D189" s="14" t="str">
        <x:v>SCTR_0010</x:v>
      </x:c>
      <x:c r="E189" s="14" t="str">
        <x:v>Title and listing description</x:v>
      </x:c>
    </x:row>
    <x:row r="190" ht="38" customHeight="1">
      <x:c r="A190" s="14" t="str">
        <x:v>Real estate, housing &amp; REITs</x:v>
      </x:c>
      <x:c r="B190" s="14" t="str">
        <x:v>Prime Real Estate Income - REIT Portfolio Theme</x:v>
      </x:c>
      <x:c r="C190" s="14" t="str">
        <x:v>Bastion Research</x:v>
      </x:c>
      <x:c r="D190" s="14" t="str">
        <x:v>BARENM_0001</x:v>
      </x:c>
      <x:c r="E190" s="14" t="str">
        <x:v>Title and listing description</x:v>
      </x:c>
    </x:row>
    <x:row r="191" ht="38" customHeight="1">
      <x:c r="A191" s="14" t="str">
        <x:v>Real estate, housing &amp; REITs</x:v>
      </x:c>
      <x:c r="B191" s="14" t="str">
        <x:v>Housing Demand Resurgence Pack Theme</x:v>
      </x:c>
      <x:c r="C191" s="14" t="str">
        <x:v>Ethical Advisers</x:v>
      </x:c>
      <x:c r="D191" s="14" t="str">
        <x:v>EHANM_0015</x:v>
      </x:c>
      <x:c r="E191" s="14" t="str">
        <x:v>Title and listing description</x:v>
      </x:c>
    </x:row>
    <x:row r="192" ht="38" customHeight="1">
      <x:c r="A192" s="14" t="str">
        <x:v>Insurance</x:v>
      </x:c>
      <x:c r="B192" s="14" t="str">
        <x:v>Insurance Tracker</x:v>
      </x:c>
      <x:c r="C192" s="14" t="str">
        <x:v>Windmill Capital</x:v>
      </x:c>
      <x:c r="D192" s="14" t="str">
        <x:v>SCTR_0011</x:v>
      </x:c>
      <x:c r="E192" s="14" t="str">
        <x:v>Title and listing description</x:v>
      </x:c>
    </x:row>
    <x:row r="193" ht="38" customHeight="1">
      <x:c r="A193" s="14" t="str">
        <x:v>Insurance</x:v>
      </x:c>
      <x:c r="B193" s="14" t="str">
        <x:v>Cherrypicked PSU Financials Theme</x:v>
      </x:c>
      <x:c r="C193" s="14" t="str">
        <x:v>Ethical Advisers</x:v>
      </x:c>
      <x:c r="D193" s="14" t="str">
        <x:v>EHANM_0009</x:v>
      </x:c>
      <x:c r="E193" s="14" t="str">
        <x:v>Title and listing description</x:v>
      </x:c>
    </x:row>
    <x:row r="194" ht="38" customHeight="1">
      <x:c r="A194" s="14" t="str">
        <x:v>Oil &amp; gas</x:v>
      </x:c>
      <x:c r="B194" s="14" t="str">
        <x:v>GVSR - Oil &amp; Gas Sector Tracker-Value Buys Tracker</x:v>
      </x:c>
      <x:c r="C194" s="14" t="str">
        <x:v>GVSRwealth</x:v>
      </x:c>
      <x:c r="D194" s="14" t="str">
        <x:v>GVSRTR_0001</x:v>
      </x:c>
      <x:c r="E194" s="14" t="str">
        <x:v>Title and listing description</x:v>
      </x:c>
    </x:row>
    <x:row r="195" ht="38" customHeight="1">
      <x:c r="A195" s="14" t="str">
        <x:v>Oil &amp; gas</x:v>
      </x:c>
      <x:c r="B195" s="14" t="str">
        <x:v>India Oil &amp; Gas Infra Tracker</x:v>
      </x:c>
      <x:c r="C195" s="14" t="str">
        <x:v>Growth Investing</x:v>
      </x:c>
      <x:c r="D195" s="14" t="str">
        <x:v>GRINQM_0005</x:v>
      </x:c>
      <x:c r="E195" s="14" t="str">
        <x:v>Title and listing description</x:v>
      </x:c>
    </x:row>
    <x:row r="196" ht="38" customHeight="1">
      <x:c r="A196" s="14" t="str">
        <x:v>Water &amp; waste management</x:v>
      </x:c>
      <x:c r="B196" s="14" t="str">
        <x:v>Ikashi Emerging India Theme</x:v>
      </x:c>
      <x:c r="C196" s="14" t="str">
        <x:v>IKASHI FINTECH PRIVATE LIMITED</x:v>
      </x:c>
      <x:c r="D196" s="14" t="str">
        <x:v>IFPLNM_0002</x:v>
      </x:c>
      <x:c r="E196" s="14" t="str">
        <x:v>Public detail-page investment rationale</x:v>
      </x:c>
    </x:row>
    <x:row r="197" ht="38" customHeight="1">
      <x:c r="A197" s="14" t="str">
        <x:v>Water &amp; waste management</x:v>
      </x:c>
      <x:c r="B197" s="14" t="str">
        <x:v>GVSR- Smart Engineering Solutions-Value Buys Theme</x:v>
      </x:c>
      <x:c r="C197" s="14" t="str">
        <x:v>GVSRwealth</x:v>
      </x:c>
      <x:c r="D197" s="14" t="str">
        <x:v>GVSRNM_0002</x:v>
      </x:c>
      <x:c r="E197" s="14" t="str">
        <x:v>Public detail-page investment rationale</x:v>
      </x:c>
    </x:row>
    <x:row r="198" ht="38" customHeight="1">
      <x:c r="A198" s="14" t="str">
        <x:v>Chemicals</x:v>
      </x:c>
      <x:c r="B198" s="14" t="str">
        <x:v>EquiSecure Theme</x:v>
      </x:c>
      <x:c r="C198" s="14" t="str">
        <x:v>Equivision Consulting</x:v>
      </x:c>
      <x:c r="D198" s="14" t="str">
        <x:v>EREQMO_0005</x:v>
      </x:c>
      <x:c r="E198" s="14" t="str">
        <x:v>Title and listing description</x:v>
      </x:c>
    </x:row>
    <x:row r="199" ht="38" customHeight="1">
      <x:c r="A199" s="14" t="str">
        <x:v>Diversified services</x:v>
      </x:c>
      <x:c r="B199" s="14" t="str">
        <x:v>Service Stars Tracker</x:v>
      </x:c>
      <x:c r="C199" s="14" t="str">
        <x:v>Quantace Research</x:v>
      </x:c>
      <x:c r="D199" s="14" t="str">
        <x:v>QURENM_0007</x:v>
      </x:c>
      <x:c r="E199" s="14" t="str">
        <x:v>Public detail-page investment rationale</x:v>
      </x:c>
    </x:row>
    <x:row r="200" ht="38" customHeight="1">
      <x:c r="A200" s="14" t="str">
        <x:v>Telecom &amp; media</x:v>
      </x:c>
      <x:c r="B200" s="14" t="str">
        <x:v>Service Stars Tracker</x:v>
      </x:c>
      <x:c r="C200" s="14" t="str">
        <x:v>Quantace Research</x:v>
      </x:c>
      <x:c r="D200" s="14" t="str">
        <x:v>QURENM_0007</x:v>
      </x:c>
      <x:c r="E200" s="14" t="str">
        <x:v>Public detail-page investment rationale</x:v>
      </x:c>
    </x:row>
    <x:row r="201" ht="38" customHeight="1">
      <x:c r="A201" s="14" t="str">
        <x:v>Travel, leisure &amp; entertainment</x:v>
      </x:c>
      <x:c r="B201" s="14" t="str">
        <x:v>Happy Hours - Cheers to Good Times Theme</x:v>
      </x:c>
      <x:c r="C201" s="14" t="str">
        <x:v>Ethical Advisers</x:v>
      </x:c>
      <x:c r="D201" s="14" t="str">
        <x:v>EHANM_0011</x:v>
      </x:c>
      <x:c r="E201" s="14" t="str">
        <x:v>Title and listing description</x:v>
      </x:c>
    </x:row>
  </x:sheetData>
  <x:pageMargins left="0.7" right="0.7" top="0.75" bottom="0.75" header="0.3" footer="0.3"/>
  <x:tableParts count="1">
    <x:tablePart xmlns:r="http://schemas.openxmlformats.org/officeDocument/2006/relationships" r:id="R00bb2c5989624244"/>
  </x:tableParts>
</x:worksheet>
</file>